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DuyTu_E\SourceCode\ReportCenter_V2\Report_Center_V2\Media\Template\"/>
    </mc:Choice>
  </mc:AlternateContent>
  <xr:revisionPtr revIDLastSave="0" documentId="13_ncr:1_{877016D8-0D89-49D0-87BF-7CBE8B446957}" xr6:coauthVersionLast="47" xr6:coauthVersionMax="47" xr10:uidLastSave="{00000000-0000-0000-0000-000000000000}"/>
  <bookViews>
    <workbookView xWindow="28680" yWindow="-5970" windowWidth="29040" windowHeight="15840" tabRatio="743" xr2:uid="{00000000-000D-0000-FFFF-FFFF00000000}"/>
  </bookViews>
  <sheets>
    <sheet name="Bao_cao_them_BTH KPI_thang" sheetId="32" r:id="rId1"/>
    <sheet name="Hướng dẫn chấm công" sheetId="7" state="hidden" r:id="rId2"/>
    <sheet name="Cong_lam_them" sheetId="26" state="hidden" r:id="rId3"/>
    <sheet name="LAM THEM ST" sheetId="15" state="hidden" r:id="rId4"/>
    <sheet name="LAM THÊM KK" sheetId="17" state="hidden" r:id="rId5"/>
    <sheet name="Phieu dang ky lam them gio" sheetId="13" state="hidden" r:id="rId6"/>
    <sheet name="Chân ký" sheetId="9" state="hidden" r:id="rId7"/>
  </sheets>
  <definedNames>
    <definedName name="_xlnm._FilterDatabase" localSheetId="2" hidden="1">Cong_lam_them!$A$9:$BA$24</definedName>
    <definedName name="_xlnm._FilterDatabase" localSheetId="4" hidden="1">'LAM THÊM KK'!$A$6:$Q$106</definedName>
    <definedName name="_xlnm._FilterDatabase" localSheetId="3" hidden="1">'LAM THEM ST'!$A$7:$DH$14</definedName>
    <definedName name="_xlnm.Print_Area" localSheetId="2">Cong_lam_them!$A$1:$AT$27</definedName>
    <definedName name="_xlnm.Print_Area" localSheetId="5">'Phieu dang ky lam them gio'!$A$1:$V$63</definedName>
    <definedName name="_xlnm.Print_Titles" localSheetId="2">Cong_lam_them!$8:$9</definedName>
    <definedName name="_xlnm.Print_Titles" localSheetId="4">'LAM THÊM KK'!$5:$5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10" i="26" l="1" a="1"/>
  <c r="AR10" i="26" s="1"/>
  <c r="AM10" i="26" a="1"/>
  <c r="AM10" i="26" s="1"/>
  <c r="AL10" i="26" a="1"/>
  <c r="AL10" i="26" s="1"/>
  <c r="AZ24" i="26" l="1"/>
  <c r="C24" i="26"/>
  <c r="AZ23" i="26"/>
  <c r="AT23" i="26"/>
  <c r="AS23" i="26"/>
  <c r="AR23" i="26"/>
  <c r="AP23" i="26"/>
  <c r="AN23" i="26"/>
  <c r="AM23" i="26"/>
  <c r="AL23" i="26"/>
  <c r="AK23" i="26"/>
  <c r="AO23" i="26" s="1"/>
  <c r="AZ22" i="26"/>
  <c r="AT22" i="26"/>
  <c r="AS22" i="26"/>
  <c r="AR22" i="26"/>
  <c r="AP22" i="26"/>
  <c r="AN22" i="26"/>
  <c r="AM22" i="26"/>
  <c r="AL22" i="26"/>
  <c r="AK22" i="26"/>
  <c r="AZ21" i="26"/>
  <c r="AT21" i="26"/>
  <c r="AS21" i="26"/>
  <c r="AR21" i="26"/>
  <c r="AP21" i="26"/>
  <c r="AN21" i="26"/>
  <c r="AM21" i="26"/>
  <c r="AL21" i="26"/>
  <c r="AK21" i="26"/>
  <c r="AZ20" i="26"/>
  <c r="AT20" i="26"/>
  <c r="AS20" i="26"/>
  <c r="AR20" i="26"/>
  <c r="AP20" i="26"/>
  <c r="AN20" i="26"/>
  <c r="AM20" i="26"/>
  <c r="AL20" i="26"/>
  <c r="AK20" i="26"/>
  <c r="AO20" i="26" s="1"/>
  <c r="AZ19" i="26"/>
  <c r="AT19" i="26"/>
  <c r="AS19" i="26"/>
  <c r="AR19" i="26"/>
  <c r="AP19" i="26"/>
  <c r="AN19" i="26"/>
  <c r="AM19" i="26"/>
  <c r="AL19" i="26"/>
  <c r="AK19" i="26"/>
  <c r="AO19" i="26" s="1"/>
  <c r="AZ18" i="26"/>
  <c r="AT18" i="26"/>
  <c r="AS18" i="26"/>
  <c r="AR18" i="26"/>
  <c r="AP18" i="26"/>
  <c r="AN18" i="26"/>
  <c r="AM18" i="26"/>
  <c r="AL18" i="26"/>
  <c r="AK18" i="26"/>
  <c r="AO18" i="26" s="1"/>
  <c r="AZ17" i="26"/>
  <c r="AT17" i="26"/>
  <c r="AS17" i="26"/>
  <c r="AR17" i="26"/>
  <c r="AP17" i="26"/>
  <c r="AN17" i="26"/>
  <c r="AM17" i="26"/>
  <c r="AL17" i="26"/>
  <c r="AK17" i="26"/>
  <c r="AO17" i="26" s="1"/>
  <c r="AZ16" i="26"/>
  <c r="AT16" i="26"/>
  <c r="AS16" i="26"/>
  <c r="AR16" i="26"/>
  <c r="AP16" i="26"/>
  <c r="AN16" i="26"/>
  <c r="AM16" i="26"/>
  <c r="AL16" i="26"/>
  <c r="AK16" i="26"/>
  <c r="AO16" i="26" s="1"/>
  <c r="AZ15" i="26"/>
  <c r="AT15" i="26"/>
  <c r="AS15" i="26"/>
  <c r="AR15" i="26"/>
  <c r="AP15" i="26"/>
  <c r="AN15" i="26"/>
  <c r="AM15" i="26"/>
  <c r="AL15" i="26"/>
  <c r="AK15" i="26"/>
  <c r="AO15" i="26" s="1"/>
  <c r="AZ14" i="26"/>
  <c r="AT14" i="26"/>
  <c r="AS14" i="26"/>
  <c r="AR14" i="26"/>
  <c r="AP14" i="26"/>
  <c r="AN14" i="26"/>
  <c r="AM14" i="26"/>
  <c r="AL14" i="26"/>
  <c r="AK14" i="26"/>
  <c r="AZ13" i="26"/>
  <c r="AT13" i="26"/>
  <c r="AS13" i="26"/>
  <c r="AR13" i="26"/>
  <c r="AP13" i="26"/>
  <c r="AN13" i="26"/>
  <c r="AM13" i="26"/>
  <c r="AL13" i="26"/>
  <c r="AK13" i="26"/>
  <c r="AO13" i="26" s="1"/>
  <c r="AZ12" i="26"/>
  <c r="AT12" i="26"/>
  <c r="AS12" i="26"/>
  <c r="AR12" i="26"/>
  <c r="AP12" i="26"/>
  <c r="AN12" i="26"/>
  <c r="AM12" i="26"/>
  <c r="AL12" i="26"/>
  <c r="AK12" i="26"/>
  <c r="AZ11" i="26"/>
  <c r="AT11" i="26"/>
  <c r="AS11" i="26"/>
  <c r="AR11" i="26"/>
  <c r="AP11" i="26"/>
  <c r="AN11" i="26"/>
  <c r="AM11" i="26"/>
  <c r="AL11" i="26"/>
  <c r="AK11" i="26"/>
  <c r="AO11" i="26" s="1"/>
  <c r="AZ10" i="26"/>
  <c r="AT10" i="26"/>
  <c r="AS10" i="26"/>
  <c r="AK10" i="26"/>
  <c r="AN10" i="26"/>
  <c r="A10" i="26"/>
  <c r="AL24" i="26" l="1"/>
  <c r="AN24" i="26"/>
  <c r="AQ13" i="26"/>
  <c r="AQ18" i="26"/>
  <c r="AR24" i="26"/>
  <c r="AS24" i="26"/>
  <c r="AT24" i="26"/>
  <c r="AO12" i="26"/>
  <c r="AQ12" i="26" s="1"/>
  <c r="AO22" i="26"/>
  <c r="AQ22" i="26" s="1"/>
  <c r="AQ11" i="26"/>
  <c r="G9" i="26"/>
  <c r="F8" i="26"/>
  <c r="AQ19" i="26"/>
  <c r="AQ17" i="26"/>
  <c r="AQ23" i="26"/>
  <c r="AQ16" i="26"/>
  <c r="AQ20" i="26"/>
  <c r="AK24" i="26"/>
  <c r="AO14" i="26"/>
  <c r="AQ14" i="26" s="1"/>
  <c r="AQ15" i="26"/>
  <c r="AP10" i="26"/>
  <c r="AP24" i="26" s="1"/>
  <c r="A11" i="26"/>
  <c r="A12" i="26" s="1"/>
  <c r="AO21" i="26"/>
  <c r="AQ21" i="26" s="1"/>
  <c r="AO10" i="26"/>
  <c r="H9" i="26" l="1"/>
  <c r="I9" i="26" s="1"/>
  <c r="G8" i="26"/>
  <c r="AO24" i="26"/>
  <c r="AM24" i="26"/>
  <c r="A13" i="26"/>
  <c r="H8" i="26"/>
  <c r="AQ10" i="26"/>
  <c r="AQ24" i="26" l="1"/>
  <c r="J9" i="26"/>
  <c r="I8" i="26"/>
  <c r="A14" i="26"/>
  <c r="A15" i="26" l="1"/>
  <c r="K9" i="26"/>
  <c r="J8" i="26"/>
  <c r="L9" i="26" l="1"/>
  <c r="K8" i="26"/>
  <c r="A16" i="26"/>
  <c r="M9" i="26" l="1"/>
  <c r="L8" i="26"/>
  <c r="A17" i="26"/>
  <c r="A18" i="26" s="1"/>
  <c r="A19" i="26" l="1"/>
  <c r="A20" i="26" s="1"/>
  <c r="A21" i="26" s="1"/>
  <c r="A22" i="26" s="1"/>
  <c r="A23" i="26" s="1"/>
  <c r="A24" i="26" s="1"/>
  <c r="N9" i="26"/>
  <c r="M8" i="26"/>
  <c r="O9" i="26" l="1"/>
  <c r="N8" i="26"/>
  <c r="P9" i="26" l="1"/>
  <c r="O8" i="26"/>
  <c r="Q9" i="26" l="1"/>
  <c r="P8" i="26"/>
  <c r="R9" i="26" l="1"/>
  <c r="Q8" i="26"/>
  <c r="S9" i="26" l="1"/>
  <c r="R8" i="26"/>
  <c r="T9" i="26" l="1"/>
  <c r="S8" i="26"/>
  <c r="U9" i="26" l="1"/>
  <c r="T8" i="26"/>
  <c r="V9" i="26" l="1"/>
  <c r="U8" i="26"/>
  <c r="AJ13" i="15"/>
  <c r="CC13" i="15"/>
  <c r="W9" i="26" l="1"/>
  <c r="V8" i="26"/>
  <c r="X9" i="26" l="1"/>
  <c r="W8" i="26"/>
  <c r="Y9" i="26" l="1"/>
  <c r="X8" i="26"/>
  <c r="Z9" i="26" l="1"/>
  <c r="Y8" i="26"/>
  <c r="I9" i="15"/>
  <c r="AA9" i="26" l="1"/>
  <c r="Z8" i="26"/>
  <c r="AB9" i="26" l="1"/>
  <c r="AA8" i="26"/>
  <c r="AC9" i="26" l="1"/>
  <c r="AB8" i="26"/>
  <c r="AD9" i="26" l="1"/>
  <c r="AC8" i="26"/>
  <c r="AE9" i="26" l="1"/>
  <c r="AD8" i="26"/>
  <c r="AF9" i="26" l="1"/>
  <c r="AE8" i="26"/>
  <c r="AG9" i="26" l="1"/>
  <c r="AF8" i="26"/>
  <c r="AH9" i="26" l="1"/>
  <c r="AG8" i="26"/>
  <c r="AI9" i="26" l="1"/>
  <c r="AH8" i="26"/>
  <c r="AJ9" i="26" l="1"/>
  <c r="AI8" i="26"/>
  <c r="AJ8" i="26" l="1"/>
  <c r="A12" i="15" l="1"/>
  <c r="A11" i="15"/>
  <c r="A10" i="15"/>
  <c r="A9" i="15"/>
  <c r="I66" i="17" l="1"/>
  <c r="I65" i="17"/>
  <c r="I64" i="17"/>
  <c r="I63" i="17"/>
  <c r="I62" i="17"/>
  <c r="I61" i="17"/>
  <c r="I60" i="17"/>
  <c r="I59" i="17"/>
  <c r="I58" i="17"/>
  <c r="I57" i="17"/>
  <c r="I56" i="17"/>
  <c r="I55" i="17"/>
  <c r="I54" i="17"/>
  <c r="I53" i="17"/>
  <c r="I52" i="17"/>
  <c r="I51" i="17"/>
  <c r="I50" i="17"/>
  <c r="I49" i="17"/>
  <c r="I48" i="17"/>
  <c r="I47" i="17"/>
  <c r="I46" i="17"/>
  <c r="I45" i="17"/>
  <c r="I44" i="17"/>
  <c r="I43" i="17"/>
  <c r="I42" i="17"/>
  <c r="I41" i="17"/>
  <c r="I40" i="17"/>
  <c r="I39" i="17"/>
  <c r="I38" i="17"/>
  <c r="I37" i="17"/>
  <c r="I36" i="17"/>
  <c r="I35" i="17"/>
  <c r="I34" i="17"/>
  <c r="I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7" i="17"/>
  <c r="L66" i="17" l="1"/>
  <c r="K66" i="17"/>
  <c r="M66" i="17" s="1"/>
  <c r="L65" i="17"/>
  <c r="K65" i="17"/>
  <c r="M65" i="17" s="1"/>
  <c r="L64" i="17"/>
  <c r="K64" i="17"/>
  <c r="M64" i="17" s="1"/>
  <c r="L63" i="17"/>
  <c r="Q63" i="17"/>
  <c r="L62" i="17"/>
  <c r="K62" i="17"/>
  <c r="M62" i="17" s="1"/>
  <c r="L61" i="17"/>
  <c r="K61" i="17"/>
  <c r="M61" i="17" s="1"/>
  <c r="L60" i="17"/>
  <c r="K60" i="17"/>
  <c r="M60" i="17" s="1"/>
  <c r="L59" i="17"/>
  <c r="Q59" i="17"/>
  <c r="L58" i="17"/>
  <c r="K58" i="17"/>
  <c r="M58" i="17" s="1"/>
  <c r="L57" i="17"/>
  <c r="K57" i="17"/>
  <c r="M57" i="17" s="1"/>
  <c r="L56" i="17"/>
  <c r="K56" i="17"/>
  <c r="M56" i="17" s="1"/>
  <c r="L55" i="17"/>
  <c r="Q55" i="17"/>
  <c r="L54" i="17"/>
  <c r="K54" i="17"/>
  <c r="M54" i="17" s="1"/>
  <c r="L53" i="17"/>
  <c r="K53" i="17"/>
  <c r="M53" i="17" s="1"/>
  <c r="L52" i="17"/>
  <c r="K52" i="17"/>
  <c r="M52" i="17" s="1"/>
  <c r="L51" i="17"/>
  <c r="Q51" i="17"/>
  <c r="L50" i="17"/>
  <c r="Q50" i="17"/>
  <c r="L49" i="17"/>
  <c r="K49" i="17"/>
  <c r="M49" i="17" s="1"/>
  <c r="L48" i="17"/>
  <c r="K48" i="17"/>
  <c r="M48" i="17" s="1"/>
  <c r="L47" i="17"/>
  <c r="Q47" i="17"/>
  <c r="L46" i="17"/>
  <c r="K46" i="17"/>
  <c r="M46" i="17" s="1"/>
  <c r="L45" i="17"/>
  <c r="K45" i="17"/>
  <c r="M45" i="17" s="1"/>
  <c r="L44" i="17"/>
  <c r="K44" i="17"/>
  <c r="M44" i="17" s="1"/>
  <c r="L43" i="17"/>
  <c r="K43" i="17"/>
  <c r="M43" i="17" s="1"/>
  <c r="L42" i="17"/>
  <c r="K42" i="17"/>
  <c r="M42" i="17" s="1"/>
  <c r="L41" i="17"/>
  <c r="Q41" i="17"/>
  <c r="L40" i="17"/>
  <c r="K40" i="17"/>
  <c r="M40" i="17" s="1"/>
  <c r="L39" i="17"/>
  <c r="K39" i="17"/>
  <c r="M39" i="17" s="1"/>
  <c r="L38" i="17"/>
  <c r="K38" i="17"/>
  <c r="M38" i="17" s="1"/>
  <c r="L37" i="17"/>
  <c r="Q37" i="17"/>
  <c r="L36" i="17"/>
  <c r="K36" i="17"/>
  <c r="M36" i="17" s="1"/>
  <c r="L35" i="17"/>
  <c r="Q35" i="17"/>
  <c r="L34" i="17"/>
  <c r="K34" i="17"/>
  <c r="M34" i="17" s="1"/>
  <c r="L33" i="17"/>
  <c r="K33" i="17"/>
  <c r="M33" i="17" s="1"/>
  <c r="L32" i="17"/>
  <c r="K32" i="17"/>
  <c r="M32" i="17" s="1"/>
  <c r="L31" i="17"/>
  <c r="Q31" i="17"/>
  <c r="L30" i="17"/>
  <c r="K30" i="17"/>
  <c r="M30" i="17" s="1"/>
  <c r="L29" i="17"/>
  <c r="K29" i="17"/>
  <c r="M29" i="17" s="1"/>
  <c r="L28" i="17"/>
  <c r="K28" i="17"/>
  <c r="M28" i="17" s="1"/>
  <c r="L27" i="17"/>
  <c r="K27" i="17"/>
  <c r="M27" i="17" s="1"/>
  <c r="L26" i="17"/>
  <c r="Q26" i="17"/>
  <c r="L25" i="17"/>
  <c r="K25" i="17"/>
  <c r="M25" i="17" s="1"/>
  <c r="L24" i="17"/>
  <c r="K24" i="17"/>
  <c r="M24" i="17" s="1"/>
  <c r="N24" i="17" s="1"/>
  <c r="O24" i="17" s="1"/>
  <c r="L23" i="17"/>
  <c r="Q23" i="17"/>
  <c r="L22" i="17"/>
  <c r="K22" i="17"/>
  <c r="M22" i="17" s="1"/>
  <c r="L21" i="17"/>
  <c r="K21" i="17"/>
  <c r="M21" i="17" s="1"/>
  <c r="L20" i="17"/>
  <c r="K20" i="17"/>
  <c r="M20" i="17" s="1"/>
  <c r="L19" i="17"/>
  <c r="K19" i="17"/>
  <c r="M19" i="17" s="1"/>
  <c r="L18" i="17"/>
  <c r="K18" i="17"/>
  <c r="M18" i="17" s="1"/>
  <c r="L17" i="17"/>
  <c r="Q17" i="17"/>
  <c r="L16" i="17"/>
  <c r="Q16" i="17"/>
  <c r="L15" i="17"/>
  <c r="Q15" i="17"/>
  <c r="L14" i="17"/>
  <c r="K14" i="17"/>
  <c r="M14" i="17" s="1"/>
  <c r="N14" i="17" s="1"/>
  <c r="O14" i="17" s="1"/>
  <c r="L13" i="17"/>
  <c r="Q13" i="17"/>
  <c r="L12" i="17"/>
  <c r="Q12" i="17"/>
  <c r="L11" i="17"/>
  <c r="K11" i="17"/>
  <c r="M11" i="17" s="1"/>
  <c r="L10" i="17"/>
  <c r="K10" i="17"/>
  <c r="M10" i="17" s="1"/>
  <c r="L9" i="17"/>
  <c r="K9" i="17"/>
  <c r="M9" i="17" s="1"/>
  <c r="L8" i="17"/>
  <c r="K8" i="17"/>
  <c r="M8" i="17" s="1"/>
  <c r="A7" i="17"/>
  <c r="A8" i="17" s="1"/>
  <c r="D106" i="17"/>
  <c r="C106" i="17"/>
  <c r="D105" i="17"/>
  <c r="C105" i="17"/>
  <c r="D104" i="17"/>
  <c r="C104" i="17"/>
  <c r="D103" i="17"/>
  <c r="C103" i="17"/>
  <c r="D102" i="17"/>
  <c r="C102" i="17"/>
  <c r="D101" i="17"/>
  <c r="C101" i="17"/>
  <c r="D100" i="17"/>
  <c r="C100" i="17"/>
  <c r="D99" i="17"/>
  <c r="C99" i="17"/>
  <c r="D98" i="17"/>
  <c r="C98" i="17"/>
  <c r="D97" i="17"/>
  <c r="C97" i="17"/>
  <c r="D96" i="17"/>
  <c r="C96" i="17"/>
  <c r="D95" i="17"/>
  <c r="C95" i="17"/>
  <c r="D94" i="17"/>
  <c r="C94" i="17"/>
  <c r="D93" i="17"/>
  <c r="C93" i="17"/>
  <c r="D92" i="17"/>
  <c r="C92" i="17"/>
  <c r="D91" i="17"/>
  <c r="C91" i="17"/>
  <c r="D90" i="17"/>
  <c r="C90" i="17"/>
  <c r="D89" i="17"/>
  <c r="C89" i="17"/>
  <c r="D88" i="17"/>
  <c r="C88" i="17"/>
  <c r="D87" i="17"/>
  <c r="C87" i="17"/>
  <c r="D86" i="17"/>
  <c r="C86" i="17"/>
  <c r="D85" i="17"/>
  <c r="C85" i="17"/>
  <c r="D84" i="17"/>
  <c r="C84" i="17"/>
  <c r="D83" i="17"/>
  <c r="C83" i="17"/>
  <c r="D82" i="17"/>
  <c r="C82" i="17"/>
  <c r="D81" i="17"/>
  <c r="C81" i="17"/>
  <c r="D80" i="17"/>
  <c r="C80" i="17"/>
  <c r="D79" i="17"/>
  <c r="C79" i="17"/>
  <c r="D78" i="17"/>
  <c r="C78" i="17"/>
  <c r="D77" i="17"/>
  <c r="C77" i="17"/>
  <c r="D76" i="17"/>
  <c r="C76" i="17"/>
  <c r="D75" i="17"/>
  <c r="C75" i="17"/>
  <c r="D74" i="17"/>
  <c r="C74" i="17"/>
  <c r="D73" i="17"/>
  <c r="C73" i="17"/>
  <c r="D72" i="17"/>
  <c r="C72" i="17"/>
  <c r="D71" i="17"/>
  <c r="C71" i="17"/>
  <c r="D70" i="17"/>
  <c r="C70" i="17"/>
  <c r="D69" i="17"/>
  <c r="C69" i="17"/>
  <c r="D66" i="17"/>
  <c r="C66" i="17"/>
  <c r="D65" i="17"/>
  <c r="C65" i="17"/>
  <c r="D64" i="17"/>
  <c r="C64" i="17"/>
  <c r="D63" i="17"/>
  <c r="C63" i="17"/>
  <c r="D62" i="17"/>
  <c r="C62" i="17"/>
  <c r="D61" i="17"/>
  <c r="C61" i="17"/>
  <c r="D60" i="17"/>
  <c r="C60" i="17"/>
  <c r="D59" i="17"/>
  <c r="C59" i="17"/>
  <c r="D58" i="17"/>
  <c r="C58" i="17"/>
  <c r="D57" i="17"/>
  <c r="C57" i="17"/>
  <c r="D56" i="17"/>
  <c r="C56" i="17"/>
  <c r="D55" i="17"/>
  <c r="C55" i="17"/>
  <c r="D54" i="17"/>
  <c r="C54" i="17"/>
  <c r="D53" i="17"/>
  <c r="C53" i="17"/>
  <c r="D52" i="17"/>
  <c r="C52" i="17"/>
  <c r="D51" i="17"/>
  <c r="C51" i="17"/>
  <c r="D50" i="17"/>
  <c r="C50" i="17"/>
  <c r="D49" i="17"/>
  <c r="C49" i="17"/>
  <c r="D48" i="17"/>
  <c r="C48" i="17"/>
  <c r="D47" i="17"/>
  <c r="C47" i="17"/>
  <c r="D46" i="17"/>
  <c r="C46" i="17"/>
  <c r="D45" i="17"/>
  <c r="C45" i="17"/>
  <c r="D44" i="17"/>
  <c r="C44" i="17"/>
  <c r="D43" i="17"/>
  <c r="C43" i="17"/>
  <c r="D42" i="17"/>
  <c r="C42" i="17"/>
  <c r="D41" i="17"/>
  <c r="C41" i="17"/>
  <c r="D40" i="17"/>
  <c r="C40" i="17"/>
  <c r="D39" i="17"/>
  <c r="C39" i="17"/>
  <c r="D38" i="17"/>
  <c r="C38" i="17"/>
  <c r="D37" i="17"/>
  <c r="C37" i="17"/>
  <c r="D36" i="17"/>
  <c r="C36" i="17"/>
  <c r="D35" i="17"/>
  <c r="C35" i="17"/>
  <c r="D34" i="17"/>
  <c r="C34" i="17"/>
  <c r="D33" i="17"/>
  <c r="C33" i="17"/>
  <c r="D32" i="17"/>
  <c r="C32" i="17"/>
  <c r="D31" i="17"/>
  <c r="C31" i="17"/>
  <c r="D30" i="17"/>
  <c r="C30" i="17"/>
  <c r="D29" i="17"/>
  <c r="C29" i="17"/>
  <c r="D28" i="17"/>
  <c r="C28" i="17"/>
  <c r="D27" i="17"/>
  <c r="C27" i="17"/>
  <c r="D26" i="17"/>
  <c r="C26" i="17"/>
  <c r="D25" i="17"/>
  <c r="C25" i="17"/>
  <c r="D24" i="17"/>
  <c r="C24" i="17"/>
  <c r="D23" i="17"/>
  <c r="C23" i="17"/>
  <c r="D22" i="17"/>
  <c r="C22" i="17"/>
  <c r="D21" i="17"/>
  <c r="C21" i="17"/>
  <c r="D20" i="17"/>
  <c r="C20" i="17"/>
  <c r="D19" i="17"/>
  <c r="C19" i="17"/>
  <c r="D18" i="17"/>
  <c r="C18" i="17"/>
  <c r="D17" i="17"/>
  <c r="C17" i="17"/>
  <c r="D16" i="17"/>
  <c r="C16" i="17"/>
  <c r="D15" i="17"/>
  <c r="C15" i="17"/>
  <c r="D14" i="17"/>
  <c r="C14" i="17"/>
  <c r="D13" i="17"/>
  <c r="C13" i="17"/>
  <c r="D12" i="17"/>
  <c r="C12" i="17"/>
  <c r="D11" i="17"/>
  <c r="C11" i="17"/>
  <c r="D10" i="17"/>
  <c r="C10" i="17"/>
  <c r="D9" i="17"/>
  <c r="C9" i="17"/>
  <c r="D8" i="17"/>
  <c r="C8" i="17"/>
  <c r="D7" i="17"/>
  <c r="C7" i="17"/>
  <c r="L106" i="17"/>
  <c r="I106" i="17"/>
  <c r="Q106" i="17" s="1"/>
  <c r="L105" i="17"/>
  <c r="I105" i="17"/>
  <c r="K105" i="17" s="1"/>
  <c r="M105" i="17" s="1"/>
  <c r="L104" i="17"/>
  <c r="I104" i="17"/>
  <c r="Q104" i="17" s="1"/>
  <c r="L103" i="17"/>
  <c r="I103" i="17"/>
  <c r="Q103" i="17" s="1"/>
  <c r="L102" i="17"/>
  <c r="I102" i="17"/>
  <c r="K102" i="17" s="1"/>
  <c r="M102" i="17" s="1"/>
  <c r="L101" i="17"/>
  <c r="I101" i="17"/>
  <c r="K101" i="17" s="1"/>
  <c r="M101" i="17" s="1"/>
  <c r="L100" i="17"/>
  <c r="I100" i="17"/>
  <c r="K100" i="17" s="1"/>
  <c r="M100" i="17" s="1"/>
  <c r="L99" i="17"/>
  <c r="I99" i="17"/>
  <c r="K99" i="17" s="1"/>
  <c r="M99" i="17" s="1"/>
  <c r="L98" i="17"/>
  <c r="I98" i="17"/>
  <c r="Q98" i="17" s="1"/>
  <c r="L97" i="17"/>
  <c r="I97" i="17"/>
  <c r="Q97" i="17" s="1"/>
  <c r="L96" i="17"/>
  <c r="I96" i="17"/>
  <c r="Q96" i="17" s="1"/>
  <c r="L95" i="17"/>
  <c r="I95" i="17"/>
  <c r="K95" i="17" s="1"/>
  <c r="M95" i="17" s="1"/>
  <c r="L94" i="17"/>
  <c r="I94" i="17"/>
  <c r="K94" i="17" s="1"/>
  <c r="M94" i="17" s="1"/>
  <c r="L93" i="17"/>
  <c r="I93" i="17"/>
  <c r="K93" i="17" s="1"/>
  <c r="M93" i="17" s="1"/>
  <c r="L92" i="17"/>
  <c r="I92" i="17"/>
  <c r="K92" i="17" s="1"/>
  <c r="M92" i="17" s="1"/>
  <c r="L91" i="17"/>
  <c r="I91" i="17"/>
  <c r="K91" i="17" s="1"/>
  <c r="M91" i="17" s="1"/>
  <c r="L90" i="17"/>
  <c r="I90" i="17"/>
  <c r="K90" i="17" s="1"/>
  <c r="M90" i="17" s="1"/>
  <c r="L89" i="17"/>
  <c r="I89" i="17"/>
  <c r="K89" i="17" s="1"/>
  <c r="M89" i="17" s="1"/>
  <c r="L88" i="17"/>
  <c r="I88" i="17"/>
  <c r="K88" i="17" s="1"/>
  <c r="M88" i="17" s="1"/>
  <c r="L87" i="17"/>
  <c r="I87" i="17"/>
  <c r="K87" i="17" s="1"/>
  <c r="M87" i="17" s="1"/>
  <c r="L86" i="17"/>
  <c r="I86" i="17"/>
  <c r="K86" i="17" s="1"/>
  <c r="M86" i="17" s="1"/>
  <c r="L85" i="17"/>
  <c r="I85" i="17"/>
  <c r="K85" i="17" s="1"/>
  <c r="M85" i="17" s="1"/>
  <c r="L84" i="17"/>
  <c r="I84" i="17"/>
  <c r="K84" i="17" s="1"/>
  <c r="M84" i="17" s="1"/>
  <c r="L83" i="17"/>
  <c r="I83" i="17"/>
  <c r="Q83" i="17" s="1"/>
  <c r="L82" i="17"/>
  <c r="I82" i="17"/>
  <c r="Q82" i="17" s="1"/>
  <c r="L81" i="17"/>
  <c r="I81" i="17"/>
  <c r="K81" i="17" s="1"/>
  <c r="M81" i="17" s="1"/>
  <c r="L80" i="17"/>
  <c r="I80" i="17"/>
  <c r="K80" i="17" s="1"/>
  <c r="M80" i="17" s="1"/>
  <c r="L79" i="17"/>
  <c r="I79" i="17"/>
  <c r="K79" i="17" s="1"/>
  <c r="M79" i="17" s="1"/>
  <c r="L78" i="17"/>
  <c r="I78" i="17"/>
  <c r="K78" i="17" s="1"/>
  <c r="M78" i="17" s="1"/>
  <c r="L77" i="17"/>
  <c r="I77" i="17"/>
  <c r="K77" i="17" s="1"/>
  <c r="M77" i="17" s="1"/>
  <c r="L76" i="17"/>
  <c r="I76" i="17"/>
  <c r="K76" i="17" s="1"/>
  <c r="M76" i="17" s="1"/>
  <c r="L75" i="17"/>
  <c r="I75" i="17"/>
  <c r="Q75" i="17" s="1"/>
  <c r="L74" i="17"/>
  <c r="I74" i="17"/>
  <c r="K74" i="17" s="1"/>
  <c r="M74" i="17" s="1"/>
  <c r="L73" i="17"/>
  <c r="I73" i="17"/>
  <c r="K73" i="17" s="1"/>
  <c r="M73" i="17" s="1"/>
  <c r="L72" i="17"/>
  <c r="I72" i="17"/>
  <c r="K72" i="17" s="1"/>
  <c r="M72" i="17" s="1"/>
  <c r="L71" i="17"/>
  <c r="I71" i="17"/>
  <c r="K71" i="17" s="1"/>
  <c r="M71" i="17" s="1"/>
  <c r="L70" i="17"/>
  <c r="I70" i="17"/>
  <c r="K70" i="17" s="1"/>
  <c r="M70" i="17" s="1"/>
  <c r="L69" i="17"/>
  <c r="I69" i="17"/>
  <c r="K69" i="17" s="1"/>
  <c r="M69" i="17" s="1"/>
  <c r="J67" i="17"/>
  <c r="Q66" i="17"/>
  <c r="Q62" i="17"/>
  <c r="Q60" i="17"/>
  <c r="Q57" i="17"/>
  <c r="Q54" i="17"/>
  <c r="Q52" i="17"/>
  <c r="Q48" i="17"/>
  <c r="Q46" i="17"/>
  <c r="Q44" i="17"/>
  <c r="Q43" i="17"/>
  <c r="Q38" i="17"/>
  <c r="Q34" i="17"/>
  <c r="Q32" i="17"/>
  <c r="Q28" i="17"/>
  <c r="Q25" i="17"/>
  <c r="Q22" i="17"/>
  <c r="Q20" i="17"/>
  <c r="Q14" i="17"/>
  <c r="Q10" i="17"/>
  <c r="Q9" i="17"/>
  <c r="Q8" i="17"/>
  <c r="L7" i="17"/>
  <c r="K7" i="17"/>
  <c r="N42" i="17" l="1"/>
  <c r="O42" i="17" s="1"/>
  <c r="N62" i="17"/>
  <c r="O62" i="17" s="1"/>
  <c r="N64" i="17"/>
  <c r="O64" i="17" s="1"/>
  <c r="N102" i="17"/>
  <c r="O102" i="17" s="1"/>
  <c r="N38" i="17"/>
  <c r="O38" i="17" s="1"/>
  <c r="K97" i="17"/>
  <c r="M97" i="17" s="1"/>
  <c r="N97" i="17" s="1"/>
  <c r="O97" i="17" s="1"/>
  <c r="K82" i="17"/>
  <c r="M82" i="17" s="1"/>
  <c r="N82" i="17" s="1"/>
  <c r="O82" i="17" s="1"/>
  <c r="K96" i="17"/>
  <c r="M96" i="17" s="1"/>
  <c r="N96" i="17" s="1"/>
  <c r="O96" i="17" s="1"/>
  <c r="K83" i="17"/>
  <c r="M83" i="17" s="1"/>
  <c r="N83" i="17" s="1"/>
  <c r="O83" i="17" s="1"/>
  <c r="N20" i="17"/>
  <c r="O20" i="17" s="1"/>
  <c r="N40" i="17"/>
  <c r="O40" i="17" s="1"/>
  <c r="N60" i="17"/>
  <c r="O60" i="17" s="1"/>
  <c r="N99" i="17"/>
  <c r="O99" i="17" s="1"/>
  <c r="N36" i="17"/>
  <c r="O36" i="17" s="1"/>
  <c r="N66" i="17"/>
  <c r="O66" i="17" s="1"/>
  <c r="N30" i="17"/>
  <c r="O30" i="17" s="1"/>
  <c r="N49" i="17"/>
  <c r="O49" i="17" s="1"/>
  <c r="N34" i="17"/>
  <c r="O34" i="17" s="1"/>
  <c r="N32" i="17"/>
  <c r="O32" i="17" s="1"/>
  <c r="K12" i="17"/>
  <c r="M12" i="17" s="1"/>
  <c r="N12" i="17" s="1"/>
  <c r="O12" i="17" s="1"/>
  <c r="N53" i="17"/>
  <c r="O53" i="17" s="1"/>
  <c r="N22" i="17"/>
  <c r="O22" i="17" s="1"/>
  <c r="N28" i="17"/>
  <c r="O28" i="17" s="1"/>
  <c r="N56" i="17"/>
  <c r="O56" i="17" s="1"/>
  <c r="N52" i="17"/>
  <c r="O52" i="17" s="1"/>
  <c r="N69" i="17"/>
  <c r="O69" i="17" s="1"/>
  <c r="N81" i="17"/>
  <c r="O81" i="17" s="1"/>
  <c r="N70" i="17"/>
  <c r="O70" i="17" s="1"/>
  <c r="Q86" i="17"/>
  <c r="Q88" i="17"/>
  <c r="Q90" i="17"/>
  <c r="N71" i="17"/>
  <c r="O71" i="17" s="1"/>
  <c r="N88" i="17"/>
  <c r="O88" i="17" s="1"/>
  <c r="K104" i="17"/>
  <c r="M104" i="17" s="1"/>
  <c r="N104" i="17" s="1"/>
  <c r="O104" i="17" s="1"/>
  <c r="Q70" i="17"/>
  <c r="Q99" i="17"/>
  <c r="Q73" i="17"/>
  <c r="Q105" i="17"/>
  <c r="N73" i="17"/>
  <c r="O73" i="17" s="1"/>
  <c r="Q76" i="17"/>
  <c r="Q78" i="17"/>
  <c r="Q81" i="17"/>
  <c r="K106" i="17"/>
  <c r="M106" i="17" s="1"/>
  <c r="N106" i="17" s="1"/>
  <c r="O106" i="17" s="1"/>
  <c r="Q85" i="17"/>
  <c r="K26" i="17"/>
  <c r="M26" i="17" s="1"/>
  <c r="N26" i="17" s="1"/>
  <c r="O26" i="17" s="1"/>
  <c r="K50" i="17"/>
  <c r="M50" i="17" s="1"/>
  <c r="N50" i="17" s="1"/>
  <c r="O50" i="17" s="1"/>
  <c r="K16" i="17"/>
  <c r="M16" i="17" s="1"/>
  <c r="N16" i="17" s="1"/>
  <c r="O16" i="17" s="1"/>
  <c r="Q40" i="17"/>
  <c r="N25" i="17"/>
  <c r="O25" i="17" s="1"/>
  <c r="N54" i="17"/>
  <c r="O54" i="17" s="1"/>
  <c r="N46" i="17"/>
  <c r="O46" i="17" s="1"/>
  <c r="N8" i="17"/>
  <c r="O8" i="17" s="1"/>
  <c r="N27" i="17"/>
  <c r="O27" i="17" s="1"/>
  <c r="N61" i="17"/>
  <c r="O61" i="17" s="1"/>
  <c r="N18" i="17"/>
  <c r="O18" i="17" s="1"/>
  <c r="N48" i="17"/>
  <c r="O48" i="17" s="1"/>
  <c r="N10" i="17"/>
  <c r="O10" i="17" s="1"/>
  <c r="N29" i="17"/>
  <c r="O29" i="17" s="1"/>
  <c r="N58" i="17"/>
  <c r="O58" i="17" s="1"/>
  <c r="N44" i="17"/>
  <c r="O44" i="17" s="1"/>
  <c r="N9" i="17"/>
  <c r="O9" i="17" s="1"/>
  <c r="N33" i="17"/>
  <c r="O33" i="17" s="1"/>
  <c r="N57" i="17"/>
  <c r="O57" i="17" s="1"/>
  <c r="N19" i="17"/>
  <c r="O19" i="17" s="1"/>
  <c r="N43" i="17"/>
  <c r="O43" i="17" s="1"/>
  <c r="N39" i="17"/>
  <c r="O39" i="17" s="1"/>
  <c r="N11" i="17"/>
  <c r="O11" i="17" s="1"/>
  <c r="N21" i="17"/>
  <c r="O21" i="17" s="1"/>
  <c r="N45" i="17"/>
  <c r="O45" i="17" s="1"/>
  <c r="N65" i="17"/>
  <c r="O65" i="17" s="1"/>
  <c r="K23" i="17"/>
  <c r="M23" i="17" s="1"/>
  <c r="N23" i="17" s="1"/>
  <c r="O23" i="17" s="1"/>
  <c r="K41" i="17"/>
  <c r="M41" i="17" s="1"/>
  <c r="N41" i="17" s="1"/>
  <c r="O41" i="17" s="1"/>
  <c r="K13" i="17"/>
  <c r="M13" i="17" s="1"/>
  <c r="N13" i="17" s="1"/>
  <c r="O13" i="17" s="1"/>
  <c r="K31" i="17"/>
  <c r="M31" i="17" s="1"/>
  <c r="N31" i="17" s="1"/>
  <c r="O31" i="17" s="1"/>
  <c r="K37" i="17"/>
  <c r="M37" i="17" s="1"/>
  <c r="N37" i="17" s="1"/>
  <c r="O37" i="17" s="1"/>
  <c r="K47" i="17"/>
  <c r="M47" i="17" s="1"/>
  <c r="N47" i="17" s="1"/>
  <c r="O47" i="17" s="1"/>
  <c r="K63" i="17"/>
  <c r="M63" i="17" s="1"/>
  <c r="N63" i="17" s="1"/>
  <c r="O63" i="17" s="1"/>
  <c r="Q29" i="17"/>
  <c r="K15" i="17"/>
  <c r="M15" i="17" s="1"/>
  <c r="N15" i="17" s="1"/>
  <c r="O15" i="17" s="1"/>
  <c r="K59" i="17"/>
  <c r="M59" i="17" s="1"/>
  <c r="N59" i="17" s="1"/>
  <c r="O59" i="17" s="1"/>
  <c r="K17" i="17"/>
  <c r="M17" i="17" s="1"/>
  <c r="N17" i="17" s="1"/>
  <c r="O17" i="17" s="1"/>
  <c r="K35" i="17"/>
  <c r="M35" i="17" s="1"/>
  <c r="N35" i="17" s="1"/>
  <c r="O35" i="17" s="1"/>
  <c r="K51" i="17"/>
  <c r="M51" i="17" s="1"/>
  <c r="N51" i="17" s="1"/>
  <c r="O51" i="17" s="1"/>
  <c r="Q49" i="17"/>
  <c r="Q19" i="17"/>
  <c r="Q53" i="17"/>
  <c r="K55" i="17"/>
  <c r="M55" i="17" s="1"/>
  <c r="N55" i="17" s="1"/>
  <c r="O55" i="17" s="1"/>
  <c r="K75" i="17"/>
  <c r="M75" i="17" s="1"/>
  <c r="N75" i="17" s="1"/>
  <c r="O75" i="17" s="1"/>
  <c r="N80" i="17"/>
  <c r="O80" i="17" s="1"/>
  <c r="N94" i="17"/>
  <c r="O94" i="17" s="1"/>
  <c r="K98" i="17"/>
  <c r="M98" i="17" s="1"/>
  <c r="N98" i="17" s="1"/>
  <c r="O98" i="17" s="1"/>
  <c r="K103" i="17"/>
  <c r="M103" i="17" s="1"/>
  <c r="N103" i="17" s="1"/>
  <c r="O103" i="17" s="1"/>
  <c r="Q100" i="17"/>
  <c r="N95" i="17"/>
  <c r="O95" i="17" s="1"/>
  <c r="Q77" i="17"/>
  <c r="Q89" i="17"/>
  <c r="Q101" i="17"/>
  <c r="Q56" i="17"/>
  <c r="N89" i="17"/>
  <c r="O89" i="17" s="1"/>
  <c r="Q87" i="17"/>
  <c r="Q102" i="17"/>
  <c r="N76" i="17"/>
  <c r="O76" i="17" s="1"/>
  <c r="N90" i="17"/>
  <c r="O90" i="17" s="1"/>
  <c r="Q79" i="17"/>
  <c r="Q91" i="17"/>
  <c r="Q80" i="17"/>
  <c r="Q92" i="17"/>
  <c r="Q69" i="17"/>
  <c r="Q93" i="17"/>
  <c r="N77" i="17"/>
  <c r="O77" i="17" s="1"/>
  <c r="N91" i="17"/>
  <c r="O91" i="17" s="1"/>
  <c r="Q94" i="17"/>
  <c r="Q65" i="17"/>
  <c r="Q71" i="17"/>
  <c r="Q95" i="17"/>
  <c r="Q72" i="17"/>
  <c r="Q84" i="17"/>
  <c r="N79" i="17"/>
  <c r="O79" i="17" s="1"/>
  <c r="Q74" i="17"/>
  <c r="A9" i="17"/>
  <c r="M7" i="17"/>
  <c r="Q11" i="17"/>
  <c r="Q18" i="17"/>
  <c r="Q21" i="17"/>
  <c r="Q24" i="17"/>
  <c r="Q27" i="17"/>
  <c r="Q30" i="17"/>
  <c r="Q33" i="17"/>
  <c r="Q36" i="17"/>
  <c r="Q39" i="17"/>
  <c r="Q42" i="17"/>
  <c r="Q45" i="17"/>
  <c r="N84" i="17"/>
  <c r="O84" i="17" s="1"/>
  <c r="N92" i="17"/>
  <c r="O92" i="17" s="1"/>
  <c r="N100" i="17"/>
  <c r="O100" i="17" s="1"/>
  <c r="L67" i="17"/>
  <c r="N72" i="17"/>
  <c r="O72" i="17" s="1"/>
  <c r="N85" i="17"/>
  <c r="O85" i="17" s="1"/>
  <c r="N93" i="17"/>
  <c r="O93" i="17" s="1"/>
  <c r="N101" i="17"/>
  <c r="O101" i="17" s="1"/>
  <c r="I67" i="17"/>
  <c r="N105" i="17"/>
  <c r="O105" i="17" s="1"/>
  <c r="N86" i="17"/>
  <c r="O86" i="17" s="1"/>
  <c r="Q7" i="17"/>
  <c r="N78" i="17"/>
  <c r="O78" i="17" s="1"/>
  <c r="N74" i="17"/>
  <c r="O74" i="17" s="1"/>
  <c r="N87" i="17"/>
  <c r="O87" i="17" s="1"/>
  <c r="Q58" i="17"/>
  <c r="Q61" i="17"/>
  <c r="Q64" i="17"/>
  <c r="A10" i="17" l="1"/>
  <c r="A11" i="17" s="1"/>
  <c r="M67" i="17"/>
  <c r="N7" i="17"/>
  <c r="K67" i="17"/>
  <c r="A12" i="17" l="1"/>
  <c r="N67" i="17"/>
  <c r="O7" i="17"/>
  <c r="O67" i="17" s="1"/>
  <c r="A13" i="17" l="1"/>
  <c r="A14" i="17" l="1"/>
  <c r="A15" i="17" l="1"/>
  <c r="A16" i="17" l="1"/>
  <c r="A17" i="17" s="1"/>
  <c r="A18" i="17" s="1"/>
  <c r="A19" i="17" s="1"/>
  <c r="A20" i="17" s="1"/>
  <c r="A21" i="17" l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9" i="17" s="1"/>
  <c r="A70" i="17" s="1"/>
  <c r="A71" i="17" s="1"/>
  <c r="A72" i="17" s="1"/>
  <c r="A73" i="17" l="1"/>
  <c r="A74" i="17"/>
  <c r="A75" i="17" s="1"/>
  <c r="A76" i="17" l="1"/>
  <c r="A77" i="17" s="1"/>
  <c r="A78" i="17" s="1"/>
  <c r="A79" i="17" l="1"/>
  <c r="A80" i="17" s="1"/>
  <c r="A81" i="17" s="1"/>
  <c r="A82" i="17" s="1"/>
  <c r="A83" i="17" s="1"/>
  <c r="A84" i="17" s="1"/>
  <c r="A85" i="17" s="1"/>
  <c r="A86" i="17" s="1"/>
  <c r="A87" i="17" s="1"/>
  <c r="A88" i="17" s="1"/>
  <c r="A89" i="17" s="1"/>
  <c r="A90" i="17" s="1"/>
  <c r="A91" i="17" s="1"/>
  <c r="A92" i="17" s="1"/>
  <c r="A93" i="17" s="1"/>
  <c r="A94" i="17" s="1"/>
  <c r="A95" i="17" s="1"/>
  <c r="A96" i="17" s="1"/>
  <c r="A97" i="17" s="1"/>
  <c r="A98" i="17" s="1"/>
  <c r="A99" i="17" s="1"/>
  <c r="A100" i="17" s="1"/>
  <c r="A101" i="17" s="1"/>
  <c r="A102" i="17" s="1"/>
  <c r="A103" i="17" s="1"/>
  <c r="A104" i="17" s="1"/>
  <c r="A105" i="17" s="1"/>
  <c r="A106" i="17" s="1"/>
  <c r="D12" i="15" l="1"/>
  <c r="C12" i="15"/>
  <c r="D11" i="15"/>
  <c r="C11" i="15"/>
  <c r="D10" i="15"/>
  <c r="C10" i="15"/>
  <c r="D9" i="15"/>
  <c r="C9" i="15"/>
  <c r="DC14" i="15" l="1"/>
  <c r="CY14" i="15"/>
  <c r="CU12" i="15"/>
  <c r="CR12" i="15"/>
  <c r="CO12" i="15"/>
  <c r="CL12" i="15"/>
  <c r="CI12" i="15"/>
  <c r="CF12" i="15"/>
  <c r="CC12" i="15"/>
  <c r="BZ12" i="15"/>
  <c r="BW12" i="15"/>
  <c r="BT12" i="15"/>
  <c r="BQ12" i="15"/>
  <c r="CU11" i="15"/>
  <c r="CR11" i="15"/>
  <c r="CO11" i="15"/>
  <c r="CL11" i="15"/>
  <c r="CI11" i="15"/>
  <c r="CF11" i="15"/>
  <c r="CC11" i="15"/>
  <c r="BZ11" i="15"/>
  <c r="BW11" i="15"/>
  <c r="BT11" i="15"/>
  <c r="BQ11" i="15"/>
  <c r="CU10" i="15"/>
  <c r="CR10" i="15"/>
  <c r="CO10" i="15"/>
  <c r="CL10" i="15"/>
  <c r="CI10" i="15"/>
  <c r="CF10" i="15"/>
  <c r="CC10" i="15"/>
  <c r="BZ10" i="15"/>
  <c r="BW10" i="15"/>
  <c r="BT10" i="15"/>
  <c r="BQ10" i="15"/>
  <c r="CU9" i="15"/>
  <c r="CR9" i="15"/>
  <c r="CO9" i="15"/>
  <c r="CL9" i="15"/>
  <c r="CI9" i="15"/>
  <c r="CF9" i="15"/>
  <c r="CC9" i="15"/>
  <c r="BZ9" i="15"/>
  <c r="BW9" i="15"/>
  <c r="BT9" i="15"/>
  <c r="BQ9" i="15"/>
  <c r="CU8" i="15"/>
  <c r="CR8" i="15"/>
  <c r="CO8" i="15"/>
  <c r="CL8" i="15"/>
  <c r="CI8" i="15"/>
  <c r="CF8" i="15"/>
  <c r="CC8" i="15"/>
  <c r="BZ8" i="15"/>
  <c r="BW8" i="15"/>
  <c r="BT8" i="15"/>
  <c r="BQ8" i="15"/>
  <c r="A8" i="15"/>
  <c r="CR14" i="15" l="1"/>
  <c r="BT14" i="15"/>
  <c r="AD14" i="15"/>
  <c r="AJ14" i="15"/>
  <c r="BN14" i="15"/>
  <c r="CW12" i="15"/>
  <c r="BB14" i="15"/>
  <c r="BE14" i="15"/>
  <c r="BH14" i="15"/>
  <c r="U14" i="15"/>
  <c r="X14" i="15"/>
  <c r="AA14" i="15"/>
  <c r="BK14" i="15"/>
  <c r="AG14" i="15"/>
  <c r="BQ14" i="15"/>
  <c r="BW14" i="15"/>
  <c r="AM14" i="15"/>
  <c r="AP14" i="15"/>
  <c r="CW9" i="15"/>
  <c r="DF9" i="15" s="1"/>
  <c r="BZ14" i="15"/>
  <c r="AS14" i="15"/>
  <c r="CC14" i="15"/>
  <c r="AV14" i="15"/>
  <c r="CF14" i="15"/>
  <c r="O14" i="15"/>
  <c r="AY14" i="15"/>
  <c r="CI14" i="15"/>
  <c r="CL14" i="15"/>
  <c r="CW10" i="15"/>
  <c r="L14" i="15"/>
  <c r="R14" i="15"/>
  <c r="CO14" i="15"/>
  <c r="I14" i="15"/>
  <c r="CW8" i="15"/>
  <c r="CW11" i="15"/>
  <c r="CZ11" i="15" s="1"/>
  <c r="DF8" i="15" l="1"/>
  <c r="DF12" i="15"/>
  <c r="CZ12" i="15"/>
  <c r="DF11" i="15"/>
  <c r="DF10" i="15"/>
  <c r="CZ10" i="15"/>
  <c r="CW14" i="15"/>
  <c r="DG12" i="15" l="1"/>
  <c r="DA12" i="15"/>
  <c r="DB12" i="15" s="1"/>
  <c r="DD12" i="15" s="1"/>
  <c r="DG10" i="15"/>
  <c r="DA10" i="15"/>
  <c r="DB10" i="15" s="1"/>
  <c r="DD10" i="15" s="1"/>
  <c r="DG11" i="15"/>
  <c r="DA11" i="15"/>
  <c r="DB11" i="15" s="1"/>
  <c r="DD11" i="15" s="1"/>
  <c r="DF14" i="15"/>
  <c r="A16" i="13" l="1"/>
  <c r="C16" i="13"/>
  <c r="J16" i="13"/>
  <c r="Q16" i="13"/>
  <c r="R16" i="13" s="1"/>
  <c r="S16" i="13"/>
  <c r="T16" i="13"/>
  <c r="W16" i="13"/>
  <c r="A17" i="13"/>
  <c r="C17" i="13"/>
  <c r="J17" i="13"/>
  <c r="Q17" i="13"/>
  <c r="R17" i="13" s="1"/>
  <c r="S17" i="13"/>
  <c r="T17" i="13"/>
  <c r="W17" i="13"/>
  <c r="A18" i="13"/>
  <c r="C18" i="13"/>
  <c r="J18" i="13"/>
  <c r="Q18" i="13"/>
  <c r="R18" i="13" s="1"/>
  <c r="S18" i="13"/>
  <c r="T18" i="13"/>
  <c r="W18" i="13"/>
  <c r="A19" i="13"/>
  <c r="C19" i="13"/>
  <c r="J19" i="13"/>
  <c r="Q19" i="13"/>
  <c r="R19" i="13" s="1"/>
  <c r="S19" i="13"/>
  <c r="T19" i="13"/>
  <c r="W19" i="13"/>
  <c r="A20" i="13"/>
  <c r="C20" i="13"/>
  <c r="J20" i="13"/>
  <c r="Q20" i="13"/>
  <c r="R20" i="13" s="1"/>
  <c r="S20" i="13"/>
  <c r="T20" i="13"/>
  <c r="W20" i="13"/>
  <c r="A21" i="13"/>
  <c r="C21" i="13"/>
  <c r="J21" i="13"/>
  <c r="Q21" i="13"/>
  <c r="R21" i="13" s="1"/>
  <c r="S21" i="13"/>
  <c r="T21" i="13"/>
  <c r="W21" i="13"/>
  <c r="A22" i="13"/>
  <c r="C22" i="13"/>
  <c r="J22" i="13"/>
  <c r="Q22" i="13"/>
  <c r="R22" i="13" s="1"/>
  <c r="S22" i="13"/>
  <c r="T22" i="13"/>
  <c r="W22" i="13"/>
  <c r="A23" i="13"/>
  <c r="C23" i="13"/>
  <c r="J23" i="13"/>
  <c r="Q23" i="13"/>
  <c r="R23" i="13" s="1"/>
  <c r="S23" i="13"/>
  <c r="T23" i="13"/>
  <c r="W23" i="13"/>
  <c r="A24" i="13"/>
  <c r="C24" i="13"/>
  <c r="J24" i="13"/>
  <c r="Q24" i="13"/>
  <c r="R24" i="13" s="1"/>
  <c r="S24" i="13"/>
  <c r="T24" i="13"/>
  <c r="W24" i="13"/>
  <c r="A25" i="13"/>
  <c r="C25" i="13"/>
  <c r="J25" i="13"/>
  <c r="Q25" i="13"/>
  <c r="R25" i="13" s="1"/>
  <c r="S25" i="13"/>
  <c r="T25" i="13"/>
  <c r="W25" i="13"/>
  <c r="A26" i="13"/>
  <c r="C26" i="13"/>
  <c r="J26" i="13"/>
  <c r="Q26" i="13"/>
  <c r="R26" i="13" s="1"/>
  <c r="S26" i="13"/>
  <c r="T26" i="13"/>
  <c r="W26" i="13"/>
  <c r="A27" i="13"/>
  <c r="C27" i="13"/>
  <c r="J27" i="13"/>
  <c r="Q27" i="13"/>
  <c r="R27" i="13" s="1"/>
  <c r="S27" i="13"/>
  <c r="T27" i="13"/>
  <c r="W27" i="13"/>
  <c r="A28" i="13"/>
  <c r="C28" i="13"/>
  <c r="J28" i="13"/>
  <c r="Q28" i="13"/>
  <c r="R28" i="13" s="1"/>
  <c r="S28" i="13"/>
  <c r="T28" i="13"/>
  <c r="W28" i="13"/>
  <c r="A29" i="13"/>
  <c r="C29" i="13"/>
  <c r="J29" i="13"/>
  <c r="Q29" i="13"/>
  <c r="R29" i="13" s="1"/>
  <c r="S29" i="13"/>
  <c r="T29" i="13"/>
  <c r="W29" i="13"/>
  <c r="A30" i="13"/>
  <c r="C30" i="13"/>
  <c r="J30" i="13"/>
  <c r="Q30" i="13"/>
  <c r="R30" i="13" s="1"/>
  <c r="S30" i="13"/>
  <c r="T30" i="13"/>
  <c r="W30" i="13"/>
  <c r="A31" i="13"/>
  <c r="C31" i="13"/>
  <c r="J31" i="13"/>
  <c r="Q31" i="13"/>
  <c r="R31" i="13" s="1"/>
  <c r="S31" i="13"/>
  <c r="T31" i="13"/>
  <c r="W31" i="13"/>
  <c r="A32" i="13"/>
  <c r="C32" i="13"/>
  <c r="J32" i="13"/>
  <c r="Q32" i="13"/>
  <c r="R32" i="13" s="1"/>
  <c r="S32" i="13"/>
  <c r="T32" i="13"/>
  <c r="W32" i="13"/>
  <c r="A33" i="13"/>
  <c r="C33" i="13"/>
  <c r="J33" i="13"/>
  <c r="Q33" i="13"/>
  <c r="R33" i="13" s="1"/>
  <c r="S33" i="13"/>
  <c r="T33" i="13"/>
  <c r="W33" i="13"/>
  <c r="A14" i="13"/>
  <c r="C14" i="13"/>
  <c r="J14" i="13"/>
  <c r="Q14" i="13"/>
  <c r="R14" i="13" s="1"/>
  <c r="S14" i="13"/>
  <c r="T14" i="13"/>
  <c r="W14" i="13"/>
  <c r="A15" i="13"/>
  <c r="C15" i="13"/>
  <c r="J15" i="13"/>
  <c r="Q15" i="13"/>
  <c r="R15" i="13" s="1"/>
  <c r="S15" i="13"/>
  <c r="T15" i="13"/>
  <c r="W15" i="13"/>
  <c r="A34" i="13"/>
  <c r="C34" i="13"/>
  <c r="J34" i="13"/>
  <c r="Q34" i="13"/>
  <c r="R34" i="13" s="1"/>
  <c r="S34" i="13"/>
  <c r="T34" i="13"/>
  <c r="W34" i="13"/>
  <c r="A35" i="13"/>
  <c r="C35" i="13"/>
  <c r="J35" i="13"/>
  <c r="Q35" i="13"/>
  <c r="R35" i="13" s="1"/>
  <c r="S35" i="13"/>
  <c r="T35" i="13"/>
  <c r="W35" i="13"/>
  <c r="A36" i="13"/>
  <c r="C36" i="13"/>
  <c r="J36" i="13"/>
  <c r="Q36" i="13"/>
  <c r="R36" i="13" s="1"/>
  <c r="S36" i="13"/>
  <c r="T36" i="13"/>
  <c r="W36" i="13"/>
  <c r="A37" i="13"/>
  <c r="C37" i="13"/>
  <c r="J37" i="13"/>
  <c r="Q37" i="13"/>
  <c r="R37" i="13" s="1"/>
  <c r="S37" i="13"/>
  <c r="T37" i="13"/>
  <c r="W37" i="13"/>
  <c r="A38" i="13"/>
  <c r="C38" i="13"/>
  <c r="J38" i="13"/>
  <c r="Q38" i="13"/>
  <c r="R38" i="13" s="1"/>
  <c r="S38" i="13"/>
  <c r="T38" i="13"/>
  <c r="W38" i="13"/>
  <c r="A39" i="13"/>
  <c r="C39" i="13"/>
  <c r="J39" i="13"/>
  <c r="Q39" i="13"/>
  <c r="R39" i="13" s="1"/>
  <c r="S39" i="13"/>
  <c r="T39" i="13"/>
  <c r="W39" i="13"/>
  <c r="A40" i="13"/>
  <c r="C40" i="13"/>
  <c r="J40" i="13"/>
  <c r="Q40" i="13"/>
  <c r="R40" i="13" s="1"/>
  <c r="S40" i="13"/>
  <c r="T40" i="13"/>
  <c r="W40" i="13"/>
  <c r="A41" i="13"/>
  <c r="C41" i="13"/>
  <c r="J41" i="13"/>
  <c r="Q41" i="13"/>
  <c r="R41" i="13" s="1"/>
  <c r="S41" i="13"/>
  <c r="T41" i="13"/>
  <c r="W41" i="13"/>
  <c r="A42" i="13"/>
  <c r="C42" i="13"/>
  <c r="J42" i="13"/>
  <c r="Q42" i="13"/>
  <c r="R42" i="13" s="1"/>
  <c r="S42" i="13"/>
  <c r="T42" i="13"/>
  <c r="W42" i="13"/>
  <c r="A43" i="13"/>
  <c r="C43" i="13"/>
  <c r="J43" i="13"/>
  <c r="Q43" i="13"/>
  <c r="R43" i="13" s="1"/>
  <c r="S43" i="13"/>
  <c r="T43" i="13"/>
  <c r="W43" i="13"/>
  <c r="A44" i="13"/>
  <c r="C44" i="13"/>
  <c r="J44" i="13"/>
  <c r="Q44" i="13"/>
  <c r="R44" i="13" s="1"/>
  <c r="S44" i="13"/>
  <c r="T44" i="13"/>
  <c r="W44" i="13"/>
  <c r="A45" i="13"/>
  <c r="C45" i="13"/>
  <c r="J45" i="13"/>
  <c r="Q45" i="13"/>
  <c r="R45" i="13" s="1"/>
  <c r="S45" i="13"/>
  <c r="T45" i="13"/>
  <c r="W45" i="13"/>
  <c r="A46" i="13"/>
  <c r="C46" i="13"/>
  <c r="J46" i="13"/>
  <c r="Q46" i="13"/>
  <c r="R46" i="13" s="1"/>
  <c r="S46" i="13"/>
  <c r="T46" i="13"/>
  <c r="W46" i="13"/>
  <c r="J10" i="13"/>
  <c r="J11" i="13"/>
  <c r="J12" i="13"/>
  <c r="J13" i="13"/>
  <c r="J47" i="13"/>
  <c r="J48" i="13"/>
  <c r="J49" i="13"/>
  <c r="J50" i="13"/>
  <c r="J51" i="13"/>
  <c r="W11" i="13" l="1"/>
  <c r="W12" i="13"/>
  <c r="W13" i="13"/>
  <c r="W47" i="13"/>
  <c r="W48" i="13"/>
  <c r="W49" i="13"/>
  <c r="W50" i="13"/>
  <c r="W51" i="13"/>
  <c r="W10" i="13"/>
  <c r="C11" i="13"/>
  <c r="C12" i="13"/>
  <c r="C13" i="13"/>
  <c r="C47" i="13"/>
  <c r="C48" i="13"/>
  <c r="C49" i="13"/>
  <c r="C50" i="13"/>
  <c r="C51" i="13"/>
  <c r="C10" i="13"/>
  <c r="P52" i="13"/>
  <c r="O52" i="13"/>
  <c r="N52" i="13"/>
  <c r="M52" i="13"/>
  <c r="L52" i="13"/>
  <c r="K52" i="13"/>
  <c r="J52" i="13"/>
  <c r="T51" i="13"/>
  <c r="S51" i="13"/>
  <c r="Q51" i="13"/>
  <c r="R51" i="13" s="1"/>
  <c r="A51" i="13"/>
  <c r="T50" i="13"/>
  <c r="S50" i="13"/>
  <c r="Q50" i="13"/>
  <c r="R50" i="13" s="1"/>
  <c r="A50" i="13"/>
  <c r="T49" i="13"/>
  <c r="S49" i="13"/>
  <c r="Q49" i="13"/>
  <c r="R49" i="13" s="1"/>
  <c r="A49" i="13"/>
  <c r="T48" i="13"/>
  <c r="S48" i="13"/>
  <c r="Q48" i="13"/>
  <c r="R48" i="13" s="1"/>
  <c r="A48" i="13"/>
  <c r="T47" i="13"/>
  <c r="S47" i="13"/>
  <c r="Q47" i="13"/>
  <c r="R47" i="13" s="1"/>
  <c r="A47" i="13"/>
  <c r="T13" i="13"/>
  <c r="S13" i="13"/>
  <c r="Q13" i="13"/>
  <c r="R13" i="13" s="1"/>
  <c r="A13" i="13"/>
  <c r="T12" i="13"/>
  <c r="S12" i="13"/>
  <c r="Q12" i="13"/>
  <c r="R12" i="13" s="1"/>
  <c r="A12" i="13"/>
  <c r="T11" i="13"/>
  <c r="S11" i="13"/>
  <c r="Q11" i="13"/>
  <c r="R11" i="13" s="1"/>
  <c r="A11" i="13"/>
  <c r="T10" i="13"/>
  <c r="S10" i="13"/>
  <c r="Q10" i="13"/>
  <c r="R10" i="13" s="1"/>
  <c r="A10" i="13"/>
  <c r="S52" i="13" l="1"/>
  <c r="T52" i="13"/>
  <c r="Q52" i="13"/>
  <c r="Q53" i="13" l="1"/>
  <c r="R52" i="13"/>
  <c r="F20" i="13" l="1"/>
  <c r="F28" i="13"/>
  <c r="F18" i="13"/>
  <c r="F26" i="13"/>
  <c r="F16" i="13"/>
  <c r="F24" i="13"/>
  <c r="F32" i="13"/>
  <c r="F22" i="13"/>
  <c r="F30" i="13"/>
  <c r="E14" i="13"/>
  <c r="E32" i="13"/>
  <c r="E16" i="13"/>
  <c r="E34" i="13"/>
  <c r="E33" i="13"/>
  <c r="E17" i="13"/>
  <c r="E20" i="13"/>
  <c r="E15" i="13"/>
  <c r="E21" i="13"/>
  <c r="F29" i="13"/>
  <c r="F21" i="13"/>
  <c r="F44" i="13"/>
  <c r="F34" i="13"/>
  <c r="F37" i="13"/>
  <c r="F15" i="13"/>
  <c r="E45" i="13"/>
  <c r="E31" i="13"/>
  <c r="E44" i="13"/>
  <c r="E43" i="13"/>
  <c r="E26" i="13"/>
  <c r="E36" i="13"/>
  <c r="E19" i="13"/>
  <c r="E30" i="13"/>
  <c r="F40" i="13"/>
  <c r="F27" i="13"/>
  <c r="F19" i="13"/>
  <c r="F46" i="13"/>
  <c r="F14" i="13"/>
  <c r="F43" i="13"/>
  <c r="E46" i="13"/>
  <c r="E24" i="13"/>
  <c r="E40" i="13"/>
  <c r="E39" i="13"/>
  <c r="E25" i="13"/>
  <c r="E28" i="13"/>
  <c r="E41" i="13"/>
  <c r="E29" i="13"/>
  <c r="F33" i="13"/>
  <c r="F25" i="13"/>
  <c r="F17" i="13"/>
  <c r="F38" i="13"/>
  <c r="F45" i="13"/>
  <c r="F39" i="13"/>
  <c r="E38" i="13"/>
  <c r="E23" i="13"/>
  <c r="E42" i="13"/>
  <c r="E35" i="13"/>
  <c r="E18" i="13"/>
  <c r="E27" i="13"/>
  <c r="E37" i="13"/>
  <c r="E22" i="13"/>
  <c r="F31" i="13"/>
  <c r="F23" i="13"/>
  <c r="F36" i="13"/>
  <c r="F42" i="13"/>
  <c r="F41" i="13"/>
  <c r="F35" i="13"/>
  <c r="F52" i="13"/>
  <c r="E53" i="13"/>
  <c r="E54" i="13"/>
  <c r="F53" i="13"/>
  <c r="F54" i="13"/>
  <c r="E52" i="13"/>
  <c r="F51" i="13"/>
  <c r="F50" i="13"/>
  <c r="F49" i="13"/>
  <c r="F10" i="13"/>
  <c r="F11" i="13"/>
  <c r="E51" i="13"/>
  <c r="E50" i="13"/>
  <c r="E49" i="13"/>
  <c r="E10" i="13"/>
  <c r="E11" i="13"/>
  <c r="F47" i="13"/>
  <c r="F13" i="13"/>
  <c r="F12" i="13"/>
  <c r="F48" i="13"/>
  <c r="E47" i="13"/>
  <c r="E13" i="13"/>
  <c r="E12" i="13"/>
  <c r="E48" i="13"/>
  <c r="F24" i="26" l="1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CZ8" i="15" l="1"/>
  <c r="DG8" i="15" l="1"/>
  <c r="DA8" i="15"/>
  <c r="DB8" i="15" s="1"/>
  <c r="DD8" i="15" s="1"/>
  <c r="CZ9" i="15"/>
  <c r="DA9" i="15" s="1"/>
  <c r="CX14" i="15"/>
  <c r="DB9" i="15" l="1"/>
  <c r="DA14" i="15"/>
  <c r="CZ14" i="15"/>
  <c r="DG9" i="15"/>
  <c r="DG14" i="15" s="1"/>
  <c r="DD9" i="15" l="1"/>
  <c r="DD14" i="15" s="1"/>
  <c r="DB14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Z7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Sử dụng hàm sumifs bảng làm thêm </t>
        </r>
      </text>
    </comment>
    <comment ref="BA7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Vlookup từ bảng Bù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<sst xmlns="http://schemas.openxmlformats.org/spreadsheetml/2006/main" count="310" uniqueCount="182">
  <si>
    <t>Mã NV</t>
  </si>
  <si>
    <t>Tên nhân viên</t>
  </si>
  <si>
    <t>Đơn vị</t>
  </si>
  <si>
    <t>Tên đơn vị</t>
  </si>
  <si>
    <t>Loại hình</t>
  </si>
  <si>
    <t>BL598</t>
  </si>
  <si>
    <t>Thứ</t>
  </si>
  <si>
    <t>BẢNG CHẤM CÔNG</t>
  </si>
  <si>
    <t>Ngày
đi làm</t>
  </si>
  <si>
    <t>Nghỉ phép</t>
  </si>
  <si>
    <t>Nghỉ bù</t>
  </si>
  <si>
    <t>Nghỉ có lương</t>
  </si>
  <si>
    <t>Nghỉ ngừng việc</t>
  </si>
  <si>
    <t>Ngày đào tạo (tối đa 7 ngày)</t>
  </si>
  <si>
    <t>Tổng
công</t>
  </si>
  <si>
    <t>Nghỉ không lương</t>
  </si>
  <si>
    <t>Nghỉ BH</t>
  </si>
  <si>
    <t>Nghỉ TS</t>
  </si>
  <si>
    <t>BL2078</t>
  </si>
  <si>
    <t>1. Rà soát lại tổng công đã chấm</t>
  </si>
  <si>
    <t>Gửi lại P.Nhân sự bản mềm khớp bản ký (chỉ gửi bản mềm bảng TH công theo BP)</t>
  </si>
  <si>
    <t>2. Thực hiện xác nhận công trên hệ thống những ngày thiếu và in ký</t>
  </si>
  <si>
    <t>I. BẢNG CHẤM CÔNG</t>
  </si>
  <si>
    <r>
      <rPr>
        <b/>
        <sz val="11"/>
        <color rgb="FFFF0000"/>
        <rFont val="Calibri"/>
        <family val="2"/>
      </rPr>
      <t>III. In ký</t>
    </r>
    <r>
      <rPr>
        <sz val="11"/>
        <rFont val="Calibri"/>
        <family val="2"/>
      </rPr>
      <t xml:space="preserve">:  sheet "BANG CHAM CONG" (Ký nháy các trang đính kèm)
</t>
    </r>
  </si>
  <si>
    <t/>
  </si>
  <si>
    <t>Cửa hàng số 01 Lý Nam Đế</t>
  </si>
  <si>
    <t>BL223</t>
  </si>
  <si>
    <t>Hoàng Long</t>
  </si>
  <si>
    <t>BL919</t>
  </si>
  <si>
    <t>Đinh Thị Thanh Hoa</t>
  </si>
  <si>
    <t>Số lần đi muộn (lần)</t>
  </si>
  <si>
    <t>Tổng thời gian đi muộn theo phút</t>
  </si>
  <si>
    <t>Địa chỉ email cá nhân của lao động chính chủ</t>
  </si>
  <si>
    <t>Thống kê</t>
  </si>
  <si>
    <t>Kiểm soát</t>
  </si>
  <si>
    <t>TRƯỞNG ĐƠN VỊ</t>
  </si>
  <si>
    <t>BAN VẬN HÀNH ST/CH</t>
  </si>
  <si>
    <t>PHÒNG NHÂN SỰ</t>
  </si>
  <si>
    <t>NGƯỜI LẬP</t>
  </si>
  <si>
    <t>Mã đơn vị</t>
  </si>
  <si>
    <t>Tồn phép</t>
  </si>
  <si>
    <t>Tồn bù</t>
  </si>
  <si>
    <t>STT</t>
  </si>
  <si>
    <t>Họ và tên</t>
  </si>
  <si>
    <t>BM-03</t>
  </si>
  <si>
    <t>BẢNG ĐĂNG KÝ LÀM THÊM GIỜ</t>
  </si>
  <si>
    <t xml:space="preserve">Phòng/Đơn vị: </t>
  </si>
  <si>
    <t>Họ tên</t>
  </si>
  <si>
    <t xml:space="preserve">Ngày tháng </t>
  </si>
  <si>
    <t>Giờ chấm công thực tế</t>
  </si>
  <si>
    <t>Giờ làm thêm</t>
  </si>
  <si>
    <t>Số giờ làm thêm</t>
  </si>
  <si>
    <t>Thêm giờ</t>
  </si>
  <si>
    <t>Ca đêm</t>
  </si>
  <si>
    <t>Công việc yêu cầu/phát sinh làm thêm</t>
  </si>
  <si>
    <t>Ghi chú</t>
  </si>
  <si>
    <t>Từ giờ</t>
  </si>
  <si>
    <t>Đến giờ</t>
  </si>
  <si>
    <t>Số giờ thực tế</t>
  </si>
  <si>
    <t>Ngày bình thường</t>
  </si>
  <si>
    <t>Ngày nghỉ hàng tuần</t>
  </si>
  <si>
    <t>Ngày nghỉ lễ, tết</t>
  </si>
  <si>
    <t>Giờ bù</t>
  </si>
  <si>
    <t>Qui ra ngày</t>
  </si>
  <si>
    <t>Công làm đêm - chấm công</t>
  </si>
  <si>
    <t>06AM- 22PM-</t>
  </si>
  <si>
    <t>22PM-06AM</t>
  </si>
  <si>
    <t>Tổng cộng:</t>
  </si>
  <si>
    <t>Ghi chú: Từ 01 đến 30 phút đầu tiên không tính; Trong vòng mỗi 30 phút tiếp theo, tính tròn thành 1/2 giờ.</t>
  </si>
  <si>
    <t>QUẢN LÝ TRỰC TIẾP</t>
  </si>
  <si>
    <t xml:space="preserve">TỔNG GIÁM ĐỐC </t>
  </si>
  <si>
    <t>Mã nv</t>
  </si>
  <si>
    <t>Tháng       năm 2023</t>
  </si>
  <si>
    <t>Công ty TNHH Xuất-Nhập khẩu và Bán lẻ Hàng tiêu dùng Hà Nội</t>
  </si>
  <si>
    <t>Siêu thị/Cửa hàng:</t>
  </si>
  <si>
    <t xml:space="preserve">     </t>
  </si>
  <si>
    <t>BẢNG CHẤM THÊM GIỜ THÁNG …….</t>
  </si>
  <si>
    <t>Mã nhân viên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</si>
  <si>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</si>
  <si>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</si>
  <si>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</si>
  <si>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</si>
  <si>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</si>
  <si>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</si>
  <si>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</si>
  <si>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</si>
  <si>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</si>
  <si>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</si>
  <si>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</si>
  <si>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</si>
  <si>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</si>
  <si>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</si>
  <si>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</si>
  <si>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</si>
  <si>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</si>
  <si>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</si>
  <si>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</si>
  <si>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</si>
  <si>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</si>
  <si>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</si>
  <si>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</si>
  <si>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</si>
  <si>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</si>
  <si>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</si>
  <si>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</si>
  <si>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</si>
  <si>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</si>
  <si>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</si>
  <si>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</si>
  <si>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Giờ thiếu</t>
  </si>
  <si>
    <t>Tổng cộng</t>
  </si>
  <si>
    <t>Quy đổi ra ngày công</t>
  </si>
  <si>
    <t>Số ngày công B1 (Ngày)</t>
  </si>
  <si>
    <t>Số ngày công B  thường</t>
  </si>
  <si>
    <t>Công tính P3</t>
  </si>
  <si>
    <t>Giờ bắt đầu tính tăng ca</t>
  </si>
  <si>
    <t>Giờ về</t>
  </si>
  <si>
    <t>Giờ làm thêm ngày thường</t>
  </si>
  <si>
    <t>giờ làm thêm ngày thường</t>
  </si>
  <si>
    <t>Tổng giờ làm thêm</t>
  </si>
  <si>
    <t>Tổng giờ làm thêm ngày thường</t>
  </si>
  <si>
    <t>Tổng giờ làm thêm ngày nghỉ thứ7+ CN</t>
  </si>
  <si>
    <t>Tổng giờ làm thêm ngày nghỉ lễ</t>
  </si>
  <si>
    <t>Tổng cộng số giờ làm thêm</t>
  </si>
  <si>
    <t>TỔNG CỘNG</t>
  </si>
  <si>
    <t>Người lập biểu</t>
  </si>
  <si>
    <t>Phụ trách siêu thị</t>
  </si>
  <si>
    <t>Giờ làm thêm ngày lễ</t>
  </si>
  <si>
    <t>Công tính lễ</t>
  </si>
  <si>
    <t>CÔNG TY TNHH XUẤT - NHẬP KHẨU VÀ BÁN LẺ HÀNG TIÊU DÙNG HÀ NỘI</t>
  </si>
  <si>
    <t xml:space="preserve">ĐƠN VỊ: </t>
  </si>
  <si>
    <t>Bộ phận</t>
  </si>
  <si>
    <t xml:space="preserve">Giờ phát sinh làm thêm (h) </t>
  </si>
  <si>
    <t>Ngày của giờ phát sinh thêm giờ</t>
  </si>
  <si>
    <t xml:space="preserve">Giờ kết thúc làm thêm (h) </t>
  </si>
  <si>
    <t>Ngày của giờ kết thúc thêm giờ</t>
  </si>
  <si>
    <t>Số giờ làm thêm ca đêm ( từ 22h00 đến 06h00)</t>
  </si>
  <si>
    <t>Số giờ làm thêm ca ngày</t>
  </si>
  <si>
    <t>Giờ làm thêm quy đổi ca đêm</t>
  </si>
  <si>
    <t>Giờ làm thêm quy đổi ca ngày</t>
  </si>
  <si>
    <t>Tổng giờ làm thêm quy đổi</t>
  </si>
  <si>
    <t>Tổng ngày làm thêm quy đỏi</t>
  </si>
  <si>
    <t>I</t>
  </si>
  <si>
    <t xml:space="preserve">Tổng Cộng Siêu thị </t>
  </si>
  <si>
    <t>DANH SÁCH CBCNV CÔNG TY HỖ TRỢ</t>
  </si>
  <si>
    <t>BẢNG TỔNG HỢP THỜI GIAN LÀM THÊM GIỜ TRONG NGÀY KIỂM KÊ THÁNG 10/2024</t>
  </si>
  <si>
    <t>U04</t>
  </si>
  <si>
    <t>Lịch tháng 04 năm 2025</t>
  </si>
  <si>
    <t>Giờ làm thêm ngày lê</t>
  </si>
  <si>
    <t>Nghành hàng</t>
  </si>
  <si>
    <t>Quầy Fresh</t>
  </si>
  <si>
    <t>Thu ngân</t>
  </si>
  <si>
    <t>Bán hàng</t>
  </si>
  <si>
    <t>an ninh</t>
  </si>
  <si>
    <t>GĐST/PGĐ</t>
  </si>
  <si>
    <t>Hỗ trợ ST Phố Nối</t>
  </si>
  <si>
    <t>Từ ngày: 01/07/2025 đến ngày 31/07/2025 (công chuẩn ST/CH:27 công trong đó 4 CN)</t>
  </si>
  <si>
    <t>Công tính KPI</t>
  </si>
  <si>
    <t>Công ngày lễ</t>
  </si>
  <si>
    <t>CT</t>
  </si>
  <si>
    <t>LV</t>
  </si>
  <si>
    <t>Công tác</t>
  </si>
  <si>
    <t>Lỗi MCC/Quên CC</t>
  </si>
  <si>
    <t>Làm việc bên ngoài</t>
  </si>
  <si>
    <t>CC</t>
  </si>
  <si>
    <t>Xin phép giờ lẻ thêm số phút (03 ký tự) vào đằng trước các ký hiệu. VD: 120P, 060B, 360KL</t>
  </si>
  <si>
    <t>Đơn vị: Phút</t>
  </si>
  <si>
    <t>120P</t>
  </si>
  <si>
    <t>12k</t>
  </si>
  <si>
    <t>100b</t>
  </si>
  <si>
    <t>120P+60B</t>
  </si>
  <si>
    <t>Chức danh công việc</t>
  </si>
  <si>
    <t>Cấp bậc</t>
  </si>
  <si>
    <t>Phòng/Ban</t>
  </si>
  <si>
    <t xml:space="preserve">Kết quả CBNV tự đánh giá </t>
  </si>
  <si>
    <t>Kết quả phê duyệt của Trưởng đơn vị</t>
  </si>
  <si>
    <t>Kêt quả KPI</t>
  </si>
  <si>
    <t>Sự kiện phát sinh</t>
  </si>
  <si>
    <t>Xếp loại</t>
  </si>
  <si>
    <t>Điểm đánh giá</t>
  </si>
  <si>
    <t>PHỤ LỤC 3: KẾT QUẢ KPI CHI TIẾT CBNV</t>
  </si>
  <si>
    <t>THÁNG 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</si>
</sst>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(* #,##0.00_);_(* \(#,##0.00\);_(* &quot;-&quot;??_);_(@_)"/>
    <numFmt numFmtId="164" formatCode="_-* #,##0.00_-;\-* #,##0.00_-;_-* &quot;-&quot;??_-;_-@_-"/>
    <numFmt numFmtId="165" formatCode="dd"/>
    <numFmt numFmtId="166" formatCode="0.0"/>
    <numFmt numFmtId="167" formatCode="hh:mm:ss;@"/>
    <numFmt numFmtId="168" formatCode="#,##0.0"/>
    <numFmt numFmtId="169" formatCode="_(* #,##0_);_(* \(#,##0\);_(* &quot;-&quot;??_);_(@_)"/>
    <numFmt numFmtId="170" formatCode="_-* #,##0.00\ _₫_-;\-* #,##0.00\ _₫_-;_-* &quot;-&quot;??\ _₫_-;_-@_-"/>
  </numFmts>
  <fonts count="58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0"/>
      <color rgb="FF000000"/>
      <name val="Segoe UI"/>
      <family val="2"/>
    </font>
    <font>
      <sz val="11"/>
      <color rgb="FF000000"/>
      <name val="Calibri"/>
      <family val="2"/>
      <scheme val="minor"/>
    </font>
    <font>
      <sz val="36"/>
      <color rgb="FF000000"/>
      <name val="Times New Roman"/>
      <family val="1"/>
    </font>
    <font>
      <sz val="11"/>
      <name val="Times New Roman"/>
      <family val="1"/>
    </font>
    <font>
      <b/>
      <sz val="14"/>
      <color rgb="FF000000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11"/>
      <color rgb="FFFF0000"/>
      <name val="Calibri"/>
      <family val="2"/>
    </font>
    <font>
      <b/>
      <sz val="11"/>
      <color indexed="8"/>
      <name val="Times New Roman"/>
      <family val="1"/>
    </font>
    <font>
      <b/>
      <sz val="10"/>
      <name val="Calibri"/>
      <family val="2"/>
    </font>
    <font>
      <b/>
      <sz val="14"/>
      <name val="Times New Roman"/>
      <family val="1"/>
    </font>
    <font>
      <b/>
      <sz val="16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Calibri"/>
      <family val="2"/>
    </font>
    <font>
      <i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u/>
      <sz val="11"/>
      <color theme="10"/>
      <name val="Calibri"/>
      <family val="2"/>
      <scheme val="minor"/>
    </font>
    <font>
      <sz val="26"/>
      <color rgb="FF000000"/>
      <name val="Times New Roman"/>
      <family val="1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26"/>
      <name val="Times New Roman"/>
      <family val="1"/>
    </font>
    <font>
      <sz val="12"/>
      <color indexed="8"/>
      <name val="Arial"/>
      <family val="2"/>
    </font>
    <font>
      <b/>
      <sz val="8"/>
      <name val="Times New Roman"/>
      <family val="1"/>
    </font>
    <font>
      <b/>
      <sz val="8"/>
      <color theme="1"/>
      <name val="Times New Roman"/>
      <family val="1"/>
    </font>
    <font>
      <sz val="8"/>
      <name val="Calibri"/>
      <family val="2"/>
      <scheme val="minor"/>
    </font>
    <font>
      <sz val="9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sz val="12"/>
      <color indexed="8"/>
      <name val="Times New Roman"/>
      <family val="1"/>
    </font>
    <font>
      <b/>
      <sz val="10"/>
      <color theme="1"/>
      <name val="Times New Roman"/>
      <family val="1"/>
    </font>
    <font>
      <b/>
      <sz val="12"/>
      <color rgb="FFFF0000"/>
      <name val="Times New Roman"/>
      <family val="1"/>
    </font>
    <font>
      <sz val="11"/>
      <color theme="0"/>
      <name val="Calibri"/>
      <family val="2"/>
      <scheme val="minor"/>
    </font>
    <font>
      <sz val="12"/>
      <color theme="0"/>
      <name val="Times New Roman"/>
      <family val="1"/>
    </font>
    <font>
      <sz val="11"/>
      <color theme="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2"/>
      <charset val="163"/>
    </font>
    <font>
      <b/>
      <sz val="16"/>
      <name val="Arial"/>
      <family val="4"/>
    </font>
    <font>
      <b/>
      <sz val="11"/>
      <name val="Calibri"/>
      <family val="4"/>
    </font>
    <font>
      <b/>
      <sz val="11"/>
      <color rgb="FFFF0000"/>
      <name val="Calibri"/>
      <family val="4"/>
    </font>
    <font>
      <b/>
      <sz val="16"/>
      <color rgb="FFFF0000"/>
      <name val="Arial"/>
      <family val="4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CC00"/>
        <bgColor rgb="FF808000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71">
    <xf numFmtId="0" fontId="0" fillId="0" borderId="0"/>
    <xf numFmtId="43" fontId="10" fillId="0" borderId="0" applyFont="0" applyFill="0" applyBorder="0" applyAlignment="0" applyProtection="0"/>
    <xf numFmtId="0" fontId="17" fillId="0" borderId="0"/>
    <xf numFmtId="0" fontId="6" fillId="0" borderId="0"/>
    <xf numFmtId="164" fontId="6" fillId="0" borderId="0" applyFont="0" applyFill="0" applyBorder="0" applyAlignment="0" applyProtection="0"/>
    <xf numFmtId="0" fontId="24" fillId="0" borderId="0"/>
    <xf numFmtId="0" fontId="17" fillId="0" borderId="0"/>
    <xf numFmtId="0" fontId="24" fillId="0" borderId="0"/>
    <xf numFmtId="16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17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5" fillId="0" borderId="0"/>
    <xf numFmtId="0" fontId="5" fillId="0" borderId="0"/>
    <xf numFmtId="0" fontId="17" fillId="0" borderId="0"/>
    <xf numFmtId="0" fontId="30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0" fontId="17" fillId="0" borderId="0"/>
    <xf numFmtId="164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24" fillId="0" borderId="0"/>
    <xf numFmtId="0" fontId="5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7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164" fontId="24" fillId="0" borderId="0" applyFont="0" applyFill="0" applyBorder="0" applyAlignment="0" applyProtection="0"/>
    <xf numFmtId="0" fontId="5" fillId="0" borderId="0"/>
    <xf numFmtId="0" fontId="10" fillId="0" borderId="0"/>
    <xf numFmtId="43" fontId="10" fillId="0" borderId="0" applyFont="0" applyFill="0" applyBorder="0" applyAlignment="0" applyProtection="0"/>
    <xf numFmtId="0" fontId="4" fillId="0" borderId="0"/>
    <xf numFmtId="164" fontId="10" fillId="0" borderId="0" applyFont="0" applyFill="0" applyBorder="0" applyAlignment="0" applyProtection="0"/>
    <xf numFmtId="168" fontId="4" fillId="0" borderId="0" applyFont="0" applyFill="0" applyBorder="0" applyAlignment="0" applyProtection="0"/>
    <xf numFmtId="43" fontId="17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52" fillId="0" borderId="0"/>
    <xf numFmtId="170" fontId="52" fillId="0" borderId="0" applyFont="0" applyFill="0" applyBorder="0" applyAlignment="0" applyProtection="0"/>
    <xf numFmtId="0" fontId="2" fillId="0" borderId="0"/>
    <xf numFmtId="0" fontId="1" fillId="0" borderId="0"/>
  </cellStyleXfs>
  <cellXfs count="342">
    <xf numFmtId="0" fontId="7" fillId="0" borderId="0" xfId="0" applyFont="1"/>
    <xf numFmtId="0" fontId="9" fillId="0" borderId="1" xfId="0" applyFont="1" applyBorder="1" applyAlignment="1">
      <alignment horizontal="center" vertical="top" wrapText="1" readingOrder="1"/>
    </xf>
    <xf numFmtId="0" fontId="12" fillId="0" borderId="0" xfId="0" applyFont="1" applyProtection="1">
      <protection locked="0"/>
    </xf>
    <xf numFmtId="0" fontId="12" fillId="0" borderId="2" xfId="0" applyFont="1" applyBorder="1" applyAlignment="1">
      <alignment horizontal="center" vertical="center"/>
    </xf>
    <xf numFmtId="0" fontId="18" fillId="0" borderId="0" xfId="0" applyFont="1"/>
    <xf numFmtId="0" fontId="12" fillId="0" borderId="2" xfId="0" applyFont="1" applyBorder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14" fillId="0" borderId="0" xfId="0" applyFont="1" applyProtection="1">
      <protection locked="0"/>
    </xf>
    <xf numFmtId="0" fontId="16" fillId="0" borderId="2" xfId="0" applyFont="1" applyBorder="1" applyAlignment="1">
      <alignment vertical="center" wrapText="1"/>
    </xf>
    <xf numFmtId="43" fontId="16" fillId="0" borderId="2" xfId="1" applyFont="1" applyFill="1" applyBorder="1" applyAlignment="1" applyProtection="1">
      <alignment vertical="center"/>
    </xf>
    <xf numFmtId="0" fontId="16" fillId="0" borderId="0" xfId="0" applyFont="1" applyProtection="1">
      <protection locked="0"/>
    </xf>
    <xf numFmtId="0" fontId="19" fillId="0" borderId="4" xfId="0" applyFont="1" applyBorder="1" applyAlignment="1" applyProtection="1">
      <alignment vertical="center" wrapText="1"/>
      <protection locked="0"/>
    </xf>
    <xf numFmtId="165" fontId="14" fillId="0" borderId="2" xfId="0" applyNumberFormat="1" applyFont="1" applyBorder="1" applyAlignment="1">
      <alignment horizontal="center" vertical="center"/>
    </xf>
    <xf numFmtId="43" fontId="14" fillId="0" borderId="2" xfId="1" applyFont="1" applyFill="1" applyBorder="1" applyAlignment="1" applyProtection="1">
      <alignment horizontal="center" vertical="center"/>
    </xf>
    <xf numFmtId="43" fontId="12" fillId="0" borderId="2" xfId="1" applyFont="1" applyFill="1" applyBorder="1" applyAlignment="1" applyProtection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2" fillId="0" borderId="0" xfId="0" applyFont="1" applyProtection="1">
      <protection locked="0"/>
    </xf>
    <xf numFmtId="0" fontId="26" fillId="0" borderId="0" xfId="5" applyFont="1" applyAlignment="1">
      <alignment horizontal="left" vertical="center"/>
    </xf>
    <xf numFmtId="0" fontId="26" fillId="0" borderId="0" xfId="6" applyFont="1" applyAlignment="1">
      <alignment vertical="center"/>
    </xf>
    <xf numFmtId="0" fontId="26" fillId="0" borderId="0" xfId="5" applyFont="1" applyAlignment="1">
      <alignment vertical="center"/>
    </xf>
    <xf numFmtId="0" fontId="26" fillId="0" borderId="0" xfId="5" applyFont="1" applyAlignment="1">
      <alignment horizontal="center" vertical="center"/>
    </xf>
    <xf numFmtId="0" fontId="26" fillId="0" borderId="19" xfId="5" quotePrefix="1" applyFont="1" applyBorder="1" applyAlignment="1">
      <alignment horizontal="center" vertical="center" wrapText="1"/>
    </xf>
    <xf numFmtId="0" fontId="26" fillId="0" borderId="23" xfId="5" applyFont="1" applyBorder="1" applyAlignment="1">
      <alignment horizontal="center" vertical="center"/>
    </xf>
    <xf numFmtId="0" fontId="26" fillId="0" borderId="24" xfId="5" applyFont="1" applyBorder="1" applyAlignment="1">
      <alignment horizontal="left" vertical="center"/>
    </xf>
    <xf numFmtId="14" fontId="26" fillId="0" borderId="19" xfId="5" applyNumberFormat="1" applyFont="1" applyBorder="1" applyAlignment="1">
      <alignment horizontal="center" vertical="center"/>
    </xf>
    <xf numFmtId="167" fontId="26" fillId="0" borderId="19" xfId="5" quotePrefix="1" applyNumberFormat="1" applyFont="1" applyBorder="1" applyAlignment="1">
      <alignment horizontal="center" vertical="center"/>
    </xf>
    <xf numFmtId="168" fontId="26" fillId="0" borderId="19" xfId="5" applyNumberFormat="1" applyFont="1" applyBorder="1" applyAlignment="1">
      <alignment horizontal="center" vertical="center"/>
    </xf>
    <xf numFmtId="0" fontId="26" fillId="0" borderId="19" xfId="5" applyFont="1" applyBorder="1" applyAlignment="1">
      <alignment horizontal="center" vertical="center"/>
    </xf>
    <xf numFmtId="0" fontId="26" fillId="0" borderId="20" xfId="5" applyFont="1" applyBorder="1" applyAlignment="1">
      <alignment horizontal="center" vertical="center"/>
    </xf>
    <xf numFmtId="0" fontId="26" fillId="0" borderId="20" xfId="5" applyFont="1" applyBorder="1" applyAlignment="1">
      <alignment vertical="center" wrapText="1"/>
    </xf>
    <xf numFmtId="0" fontId="26" fillId="0" borderId="22" xfId="5" applyFont="1" applyBorder="1" applyAlignment="1">
      <alignment vertical="center"/>
    </xf>
    <xf numFmtId="0" fontId="26" fillId="0" borderId="25" xfId="5" applyFont="1" applyBorder="1" applyAlignment="1">
      <alignment vertical="center"/>
    </xf>
    <xf numFmtId="0" fontId="27" fillId="0" borderId="26" xfId="5" applyFont="1" applyBorder="1" applyAlignment="1">
      <alignment horizontal="left" vertical="center"/>
    </xf>
    <xf numFmtId="0" fontId="27" fillId="0" borderId="27" xfId="5" applyFont="1" applyBorder="1" applyAlignment="1">
      <alignment horizontal="left" vertical="center"/>
    </xf>
    <xf numFmtId="0" fontId="27" fillId="0" borderId="28" xfId="5" applyFont="1" applyBorder="1" applyAlignment="1">
      <alignment vertical="center"/>
    </xf>
    <xf numFmtId="166" fontId="27" fillId="0" borderId="28" xfId="5" applyNumberFormat="1" applyFont="1" applyBorder="1" applyAlignment="1">
      <alignment horizontal="center" vertical="center"/>
    </xf>
    <xf numFmtId="0" fontId="26" fillId="0" borderId="29" xfId="5" applyFont="1" applyBorder="1" applyAlignment="1">
      <alignment vertical="center"/>
    </xf>
    <xf numFmtId="0" fontId="27" fillId="0" borderId="0" xfId="5" applyFont="1" applyAlignment="1">
      <alignment vertical="center"/>
    </xf>
    <xf numFmtId="0" fontId="26" fillId="0" borderId="0" xfId="6" applyFont="1" applyAlignment="1">
      <alignment horizontal="center" vertical="center"/>
    </xf>
    <xf numFmtId="0" fontId="27" fillId="0" borderId="0" xfId="6" applyFont="1" applyAlignment="1">
      <alignment vertical="center"/>
    </xf>
    <xf numFmtId="0" fontId="26" fillId="0" borderId="24" xfId="5" applyFont="1" applyBorder="1" applyAlignment="1">
      <alignment horizontal="center" vertical="center"/>
    </xf>
    <xf numFmtId="0" fontId="28" fillId="0" borderId="0" xfId="5" applyFont="1" applyAlignment="1">
      <alignment vertical="center"/>
    </xf>
    <xf numFmtId="0" fontId="28" fillId="0" borderId="0" xfId="5" applyFont="1" applyAlignment="1">
      <alignment horizontal="left" vertical="center"/>
    </xf>
    <xf numFmtId="0" fontId="16" fillId="0" borderId="0" xfId="6" applyFont="1" applyAlignment="1">
      <alignment vertical="center"/>
    </xf>
    <xf numFmtId="0" fontId="29" fillId="0" borderId="0" xfId="5" applyFont="1" applyAlignment="1">
      <alignment vertical="center"/>
    </xf>
    <xf numFmtId="0" fontId="29" fillId="0" borderId="0" xfId="5" applyFont="1" applyAlignment="1">
      <alignment horizontal="left" vertical="center"/>
    </xf>
    <xf numFmtId="0" fontId="29" fillId="0" borderId="0" xfId="5" applyFont="1" applyAlignment="1">
      <alignment horizontal="center" vertical="center"/>
    </xf>
    <xf numFmtId="0" fontId="16" fillId="0" borderId="0" xfId="6" applyFont="1" applyAlignment="1">
      <alignment horizontal="left" vertical="center"/>
    </xf>
    <xf numFmtId="0" fontId="16" fillId="0" borderId="0" xfId="6" applyFont="1" applyAlignment="1">
      <alignment horizontal="center" vertical="center"/>
    </xf>
    <xf numFmtId="0" fontId="16" fillId="0" borderId="0" xfId="6" applyFont="1" applyAlignment="1">
      <alignment horizontal="right" vertical="center"/>
    </xf>
    <xf numFmtId="0" fontId="26" fillId="0" borderId="19" xfId="5" quotePrefix="1" applyFont="1" applyBorder="1" applyAlignment="1">
      <alignment horizontal="center" vertical="center"/>
    </xf>
    <xf numFmtId="167" fontId="26" fillId="0" borderId="0" xfId="5" quotePrefix="1" applyNumberFormat="1" applyFont="1" applyAlignment="1">
      <alignment horizontal="center" vertical="center"/>
    </xf>
    <xf numFmtId="0" fontId="11" fillId="0" borderId="0" xfId="0" applyFont="1" applyAlignment="1" applyProtection="1">
      <alignment horizontal="centerContinuous" vertical="top" wrapText="1" readingOrder="1"/>
      <protection locked="0"/>
    </xf>
    <xf numFmtId="0" fontId="12" fillId="0" borderId="0" xfId="0" applyFont="1" applyAlignment="1" applyProtection="1">
      <alignment horizontal="centerContinuous"/>
      <protection locked="0"/>
    </xf>
    <xf numFmtId="0" fontId="14" fillId="0" borderId="0" xfId="0" applyFont="1" applyAlignment="1" applyProtection="1">
      <alignment horizontal="centerContinuous"/>
      <protection locked="0"/>
    </xf>
    <xf numFmtId="0" fontId="13" fillId="0" borderId="0" xfId="0" applyFont="1" applyAlignment="1" applyProtection="1">
      <alignment vertical="top" wrapText="1" readingOrder="1"/>
      <protection locked="0"/>
    </xf>
    <xf numFmtId="0" fontId="14" fillId="0" borderId="0" xfId="0" applyFont="1" applyAlignment="1" applyProtection="1">
      <alignment vertical="center"/>
      <protection locked="0"/>
    </xf>
    <xf numFmtId="0" fontId="31" fillId="0" borderId="0" xfId="0" applyFont="1" applyAlignment="1" applyProtection="1">
      <alignment horizontal="centerContinuous" vertical="top" wrapText="1" readingOrder="1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Continuous" vertical="center" wrapText="1" readingOrder="1"/>
      <protection locked="0"/>
    </xf>
    <xf numFmtId="0" fontId="12" fillId="0" borderId="0" xfId="0" applyFont="1" applyAlignment="1" applyProtection="1">
      <alignment horizontal="centerContinuous" vertical="center"/>
      <protection locked="0"/>
    </xf>
    <xf numFmtId="0" fontId="14" fillId="0" borderId="0" xfId="0" applyFont="1" applyAlignment="1" applyProtection="1">
      <alignment horizontal="centerContinuous" vertical="center"/>
      <protection locked="0"/>
    </xf>
    <xf numFmtId="0" fontId="15" fillId="0" borderId="2" xfId="0" applyFont="1" applyBorder="1" applyAlignment="1">
      <alignment vertical="center" wrapText="1"/>
    </xf>
    <xf numFmtId="43" fontId="15" fillId="0" borderId="2" xfId="1" applyFont="1" applyFill="1" applyBorder="1" applyAlignment="1" applyProtection="1">
      <alignment vertical="center"/>
    </xf>
    <xf numFmtId="0" fontId="14" fillId="0" borderId="2" xfId="0" applyFont="1" applyBorder="1" applyAlignment="1" applyProtection="1">
      <alignment vertical="center"/>
      <protection locked="0"/>
    </xf>
    <xf numFmtId="0" fontId="14" fillId="0" borderId="5" xfId="0" applyFont="1" applyBorder="1" applyAlignment="1" applyProtection="1">
      <alignment horizontal="centerContinuous" vertical="center"/>
      <protection locked="0"/>
    </xf>
    <xf numFmtId="0" fontId="14" fillId="0" borderId="6" xfId="0" applyFont="1" applyBorder="1" applyAlignment="1" applyProtection="1">
      <alignment horizontal="centerContinuous" vertical="center"/>
      <protection locked="0"/>
    </xf>
    <xf numFmtId="0" fontId="14" fillId="0" borderId="7" xfId="0" applyFont="1" applyBorder="1" applyAlignment="1" applyProtection="1">
      <alignment horizontal="centerContinuous" vertical="center"/>
      <protection locked="0"/>
    </xf>
    <xf numFmtId="0" fontId="16" fillId="0" borderId="2" xfId="0" applyFont="1" applyBorder="1" applyAlignment="1" applyProtection="1">
      <alignment horizontal="center" vertical="center"/>
      <protection locked="0"/>
    </xf>
    <xf numFmtId="0" fontId="16" fillId="0" borderId="2" xfId="0" applyFont="1" applyBorder="1" applyAlignment="1">
      <alignment horizontal="center" vertical="center" wrapText="1"/>
    </xf>
    <xf numFmtId="0" fontId="12" fillId="0" borderId="2" xfId="0" applyFont="1" applyBorder="1" applyAlignment="1" applyProtection="1">
      <alignment horizontal="center" vertical="center"/>
      <protection locked="0"/>
    </xf>
    <xf numFmtId="0" fontId="32" fillId="0" borderId="0" xfId="0" applyFont="1" applyAlignment="1">
      <alignment wrapText="1"/>
    </xf>
    <xf numFmtId="0" fontId="33" fillId="0" borderId="0" xfId="0" applyFont="1" applyAlignment="1">
      <alignment wrapText="1"/>
    </xf>
    <xf numFmtId="0" fontId="33" fillId="0" borderId="0" xfId="0" applyFont="1" applyAlignment="1">
      <alignment horizontal="center" wrapText="1"/>
    </xf>
    <xf numFmtId="0" fontId="34" fillId="0" borderId="0" xfId="0" applyFont="1"/>
    <xf numFmtId="0" fontId="32" fillId="0" borderId="0" xfId="0" applyFont="1"/>
    <xf numFmtId="0" fontId="15" fillId="0" borderId="0" xfId="0" applyFont="1"/>
    <xf numFmtId="0" fontId="33" fillId="0" borderId="0" xfId="0" applyFont="1"/>
    <xf numFmtId="0" fontId="33" fillId="0" borderId="0" xfId="0" applyFont="1" applyAlignment="1">
      <alignment horizontal="center"/>
    </xf>
    <xf numFmtId="0" fontId="35" fillId="0" borderId="0" xfId="0" applyFont="1"/>
    <xf numFmtId="166" fontId="27" fillId="0" borderId="0" xfId="0" applyNumberFormat="1" applyFont="1" applyAlignment="1">
      <alignment vertical="center" wrapText="1"/>
    </xf>
    <xf numFmtId="166" fontId="36" fillId="0" borderId="0" xfId="0" applyNumberFormat="1" applyFont="1" applyAlignment="1">
      <alignment vertical="center" wrapText="1"/>
    </xf>
    <xf numFmtId="166" fontId="36" fillId="0" borderId="0" xfId="0" applyNumberFormat="1" applyFont="1" applyAlignment="1">
      <alignment vertical="center"/>
    </xf>
    <xf numFmtId="0" fontId="36" fillId="0" borderId="0" xfId="0" applyFont="1"/>
    <xf numFmtId="0" fontId="26" fillId="0" borderId="0" xfId="0" applyFont="1" applyAlignment="1">
      <alignment horizontal="center"/>
    </xf>
    <xf numFmtId="0" fontId="12" fillId="0" borderId="0" xfId="0" applyFont="1"/>
    <xf numFmtId="166" fontId="12" fillId="0" borderId="0" xfId="0" applyNumberFormat="1" applyFont="1"/>
    <xf numFmtId="0" fontId="14" fillId="0" borderId="0" xfId="0" applyFont="1" applyAlignment="1">
      <alignment vertical="center"/>
    </xf>
    <xf numFmtId="166" fontId="14" fillId="0" borderId="2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34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66" fontId="33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66" fontId="12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35" fillId="0" borderId="0" xfId="0" applyFont="1" applyAlignment="1">
      <alignment horizontal="center"/>
    </xf>
    <xf numFmtId="166" fontId="34" fillId="0" borderId="0" xfId="0" applyNumberFormat="1" applyFont="1"/>
    <xf numFmtId="0" fontId="40" fillId="0" borderId="0" xfId="0" applyFont="1"/>
    <xf numFmtId="166" fontId="33" fillId="0" borderId="0" xfId="0" applyNumberFormat="1" applyFont="1"/>
    <xf numFmtId="0" fontId="26" fillId="0" borderId="0" xfId="0" applyFont="1" applyAlignment="1">
      <alignment vertical="center"/>
    </xf>
    <xf numFmtId="49" fontId="16" fillId="0" borderId="0" xfId="2" applyNumberFormat="1" applyFont="1" applyAlignment="1">
      <alignment horizontal="center" vertical="center" wrapText="1"/>
    </xf>
    <xf numFmtId="43" fontId="12" fillId="0" borderId="2" xfId="0" applyNumberFormat="1" applyFont="1" applyBorder="1" applyAlignment="1" applyProtection="1">
      <alignment vertical="center"/>
      <protection locked="0"/>
    </xf>
    <xf numFmtId="164" fontId="12" fillId="0" borderId="2" xfId="0" applyNumberFormat="1" applyFont="1" applyBorder="1" applyAlignment="1" applyProtection="1">
      <alignment vertical="center"/>
      <protection locked="0"/>
    </xf>
    <xf numFmtId="0" fontId="22" fillId="0" borderId="0" xfId="0" applyFont="1" applyAlignment="1" applyProtection="1">
      <alignment horizontal="centerContinuous"/>
      <protection locked="0"/>
    </xf>
    <xf numFmtId="43" fontId="33" fillId="0" borderId="0" xfId="1" applyFont="1" applyAlignment="1">
      <alignment wrapText="1"/>
    </xf>
    <xf numFmtId="43" fontId="33" fillId="0" borderId="0" xfId="1" applyFont="1"/>
    <xf numFmtId="43" fontId="36" fillId="0" borderId="0" xfId="1" applyFont="1" applyAlignment="1">
      <alignment vertical="center" wrapText="1"/>
    </xf>
    <xf numFmtId="43" fontId="12" fillId="0" borderId="0" xfId="1" applyFont="1"/>
    <xf numFmtId="43" fontId="14" fillId="0" borderId="2" xfId="1" applyFont="1" applyBorder="1" applyAlignment="1">
      <alignment horizontal="center" vertical="center" wrapText="1"/>
    </xf>
    <xf numFmtId="43" fontId="33" fillId="0" borderId="2" xfId="1" applyFont="1" applyBorder="1" applyAlignment="1">
      <alignment horizontal="center" vertical="center"/>
    </xf>
    <xf numFmtId="43" fontId="33" fillId="0" borderId="0" xfId="1" applyFont="1" applyAlignment="1">
      <alignment horizontal="center" vertical="center"/>
    </xf>
    <xf numFmtId="43" fontId="12" fillId="0" borderId="0" xfId="1" applyFont="1" applyAlignment="1">
      <alignment vertical="center"/>
    </xf>
    <xf numFmtId="43" fontId="34" fillId="0" borderId="0" xfId="1" applyFont="1"/>
    <xf numFmtId="43" fontId="33" fillId="0" borderId="0" xfId="1" applyFont="1" applyAlignment="1">
      <alignment horizontal="center" wrapText="1"/>
    </xf>
    <xf numFmtId="43" fontId="33" fillId="0" borderId="0" xfId="1" applyFont="1" applyAlignment="1">
      <alignment horizontal="center"/>
    </xf>
    <xf numFmtId="43" fontId="14" fillId="0" borderId="30" xfId="1" applyFont="1" applyFill="1" applyBorder="1" applyAlignment="1">
      <alignment vertical="center"/>
    </xf>
    <xf numFmtId="43" fontId="14" fillId="0" borderId="19" xfId="1" applyFont="1" applyFill="1" applyBorder="1" applyAlignment="1">
      <alignment vertical="center"/>
    </xf>
    <xf numFmtId="43" fontId="34" fillId="0" borderId="0" xfId="1" applyFont="1" applyAlignment="1">
      <alignment vertical="center"/>
    </xf>
    <xf numFmtId="169" fontId="37" fillId="0" borderId="30" xfId="1" applyNumberFormat="1" applyFont="1" applyBorder="1" applyAlignment="1">
      <alignment horizontal="center" vertical="center" wrapText="1"/>
    </xf>
    <xf numFmtId="169" fontId="23" fillId="0" borderId="30" xfId="1" applyNumberFormat="1" applyFont="1" applyBorder="1" applyAlignment="1" applyProtection="1">
      <alignment horizontal="center" vertical="center" wrapText="1"/>
      <protection locked="0"/>
    </xf>
    <xf numFmtId="169" fontId="12" fillId="0" borderId="30" xfId="1" applyNumberFormat="1" applyFont="1" applyBorder="1" applyAlignment="1" applyProtection="1">
      <alignment horizontal="left" vertical="center"/>
      <protection locked="0"/>
    </xf>
    <xf numFmtId="169" fontId="14" fillId="0" borderId="30" xfId="1" applyNumberFormat="1" applyFont="1" applyBorder="1" applyAlignment="1">
      <alignment horizontal="center" vertical="center" wrapText="1"/>
    </xf>
    <xf numFmtId="169" fontId="26" fillId="0" borderId="30" xfId="1" applyNumberFormat="1" applyFont="1" applyBorder="1" applyAlignment="1">
      <alignment horizontal="center" vertical="center" wrapText="1"/>
    </xf>
    <xf numFmtId="169" fontId="26" fillId="0" borderId="30" xfId="1" applyNumberFormat="1" applyFont="1" applyBorder="1" applyAlignment="1">
      <alignment horizontal="left" vertical="center" wrapText="1"/>
    </xf>
    <xf numFmtId="169" fontId="38" fillId="0" borderId="30" xfId="1" applyNumberFormat="1" applyFont="1" applyBorder="1" applyAlignment="1">
      <alignment vertical="center"/>
    </xf>
    <xf numFmtId="169" fontId="14" fillId="0" borderId="30" xfId="1" applyNumberFormat="1" applyFont="1" applyBorder="1" applyAlignment="1">
      <alignment vertical="center"/>
    </xf>
    <xf numFmtId="169" fontId="14" fillId="0" borderId="0" xfId="1" applyNumberFormat="1" applyFont="1" applyAlignment="1">
      <alignment vertical="center"/>
    </xf>
    <xf numFmtId="169" fontId="37" fillId="0" borderId="19" xfId="1" applyNumberFormat="1" applyFont="1" applyBorder="1" applyAlignment="1">
      <alignment horizontal="center" vertical="center" wrapText="1"/>
    </xf>
    <xf numFmtId="169" fontId="23" fillId="0" borderId="19" xfId="1" applyNumberFormat="1" applyFont="1" applyBorder="1" applyAlignment="1" applyProtection="1">
      <alignment horizontal="center" vertical="center" wrapText="1"/>
      <protection locked="0"/>
    </xf>
    <xf numFmtId="169" fontId="23" fillId="0" borderId="19" xfId="1" applyNumberFormat="1" applyFont="1" applyBorder="1" applyAlignment="1" applyProtection="1">
      <alignment horizontal="left" vertical="center" wrapText="1"/>
      <protection locked="0"/>
    </xf>
    <xf numFmtId="169" fontId="26" fillId="0" borderId="19" xfId="1" applyNumberFormat="1" applyFont="1" applyBorder="1" applyAlignment="1">
      <alignment horizontal="center" vertical="center" wrapText="1"/>
    </xf>
    <xf numFmtId="169" fontId="14" fillId="0" borderId="19" xfId="1" applyNumberFormat="1" applyFont="1" applyBorder="1" applyAlignment="1">
      <alignment horizontal="center" vertical="center" wrapText="1"/>
    </xf>
    <xf numFmtId="169" fontId="26" fillId="0" borderId="19" xfId="1" applyNumberFormat="1" applyFont="1" applyBorder="1" applyAlignment="1">
      <alignment horizontal="left" vertical="center" wrapText="1"/>
    </xf>
    <xf numFmtId="169" fontId="38" fillId="0" borderId="19" xfId="1" applyNumberFormat="1" applyFont="1" applyBorder="1" applyAlignment="1">
      <alignment vertical="center"/>
    </xf>
    <xf numFmtId="169" fontId="14" fillId="0" borderId="19" xfId="1" applyNumberFormat="1" applyFont="1" applyBorder="1" applyAlignment="1">
      <alignment vertical="center"/>
    </xf>
    <xf numFmtId="169" fontId="12" fillId="0" borderId="19" xfId="1" applyNumberFormat="1" applyFont="1" applyBorder="1" applyAlignment="1" applyProtection="1">
      <alignment horizontal="center" vertical="center"/>
      <protection locked="0"/>
    </xf>
    <xf numFmtId="169" fontId="12" fillId="0" borderId="19" xfId="1" applyNumberFormat="1" applyFont="1" applyBorder="1" applyAlignment="1" applyProtection="1">
      <alignment horizontal="left" vertical="center"/>
      <protection locked="0"/>
    </xf>
    <xf numFmtId="169" fontId="32" fillId="0" borderId="2" xfId="1" applyNumberFormat="1" applyFont="1" applyBorder="1" applyAlignment="1">
      <alignment horizontal="center" vertical="center"/>
    </xf>
    <xf numFmtId="169" fontId="39" fillId="0" borderId="2" xfId="1" applyNumberFormat="1" applyFont="1" applyBorder="1" applyAlignment="1">
      <alignment horizontal="center" vertical="center"/>
    </xf>
    <xf numFmtId="169" fontId="33" fillId="0" borderId="2" xfId="1" applyNumberFormat="1" applyFont="1" applyBorder="1" applyAlignment="1">
      <alignment horizontal="center" vertical="center"/>
    </xf>
    <xf numFmtId="169" fontId="34" fillId="0" borderId="2" xfId="1" applyNumberFormat="1" applyFont="1" applyBorder="1" applyAlignment="1">
      <alignment vertical="center"/>
    </xf>
    <xf numFmtId="169" fontId="34" fillId="0" borderId="0" xfId="1" applyNumberFormat="1" applyFont="1" applyAlignment="1">
      <alignment vertical="center"/>
    </xf>
    <xf numFmtId="43" fontId="36" fillId="0" borderId="0" xfId="1" applyFont="1"/>
    <xf numFmtId="169" fontId="37" fillId="0" borderId="30" xfId="1" applyNumberFormat="1" applyFont="1" applyBorder="1" applyAlignment="1">
      <alignment vertical="center" wrapText="1"/>
    </xf>
    <xf numFmtId="169" fontId="37" fillId="0" borderId="19" xfId="1" applyNumberFormat="1" applyFont="1" applyBorder="1" applyAlignment="1">
      <alignment vertical="center" wrapText="1"/>
    </xf>
    <xf numFmtId="169" fontId="15" fillId="0" borderId="2" xfId="62" applyNumberFormat="1" applyFont="1" applyFill="1" applyBorder="1" applyAlignment="1">
      <alignment horizontal="center" vertical="center" wrapText="1"/>
    </xf>
    <xf numFmtId="0" fontId="15" fillId="0" borderId="0" xfId="60" applyFont="1"/>
    <xf numFmtId="0" fontId="15" fillId="0" borderId="0" xfId="60" applyFont="1" applyAlignment="1">
      <alignment horizontal="center"/>
    </xf>
    <xf numFmtId="0" fontId="4" fillId="0" borderId="0" xfId="60"/>
    <xf numFmtId="164" fontId="16" fillId="0" borderId="0" xfId="61" applyFont="1" applyFill="1"/>
    <xf numFmtId="0" fontId="16" fillId="0" borderId="0" xfId="60" applyFont="1"/>
    <xf numFmtId="0" fontId="15" fillId="0" borderId="0" xfId="60" applyFont="1" applyAlignment="1">
      <alignment horizontal="left"/>
    </xf>
    <xf numFmtId="0" fontId="21" fillId="0" borderId="0" xfId="60" applyFont="1" applyAlignment="1">
      <alignment vertical="center"/>
    </xf>
    <xf numFmtId="0" fontId="21" fillId="0" borderId="0" xfId="60" applyFont="1" applyAlignment="1">
      <alignment horizontal="center" vertical="center"/>
    </xf>
    <xf numFmtId="0" fontId="27" fillId="0" borderId="0" xfId="60" applyFont="1" applyAlignment="1">
      <alignment horizontal="center" vertical="center"/>
    </xf>
    <xf numFmtId="0" fontId="26" fillId="0" borderId="0" xfId="60" applyFont="1" applyAlignment="1">
      <alignment horizontal="center" vertical="center"/>
    </xf>
    <xf numFmtId="0" fontId="15" fillId="0" borderId="2" xfId="60" applyFont="1" applyBorder="1" applyAlignment="1">
      <alignment horizontal="center" vertical="center" wrapText="1"/>
    </xf>
    <xf numFmtId="168" fontId="15" fillId="0" borderId="2" xfId="60" applyNumberFormat="1" applyFont="1" applyBorder="1" applyAlignment="1">
      <alignment horizontal="center" vertical="center" wrapText="1"/>
    </xf>
    <xf numFmtId="164" fontId="15" fillId="0" borderId="2" xfId="61" applyFont="1" applyFill="1" applyBorder="1" applyAlignment="1">
      <alignment horizontal="center" vertical="center" wrapText="1"/>
    </xf>
    <xf numFmtId="0" fontId="15" fillId="0" borderId="3" xfId="60" applyFont="1" applyBorder="1" applyAlignment="1">
      <alignment horizontal="center" vertical="center" wrapText="1"/>
    </xf>
    <xf numFmtId="168" fontId="15" fillId="0" borderId="3" xfId="60" applyNumberFormat="1" applyFont="1" applyBorder="1" applyAlignment="1">
      <alignment horizontal="center" vertical="center" wrapText="1"/>
    </xf>
    <xf numFmtId="168" fontId="16" fillId="0" borderId="3" xfId="60" applyNumberFormat="1" applyFont="1" applyBorder="1" applyAlignment="1">
      <alignment horizontal="center" vertical="center" wrapText="1"/>
    </xf>
    <xf numFmtId="0" fontId="16" fillId="0" borderId="2" xfId="60" applyFont="1" applyBorder="1" applyAlignment="1" applyProtection="1">
      <alignment horizontal="left" vertical="center"/>
      <protection locked="0"/>
    </xf>
    <xf numFmtId="0" fontId="16" fillId="0" borderId="2" xfId="60" applyFont="1" applyBorder="1" applyAlignment="1" applyProtection="1">
      <alignment horizontal="left" vertical="center" wrapText="1"/>
      <protection locked="0"/>
    </xf>
    <xf numFmtId="168" fontId="16" fillId="0" borderId="2" xfId="60" applyNumberFormat="1" applyFont="1" applyBorder="1" applyAlignment="1">
      <alignment horizontal="center" vertical="center"/>
    </xf>
    <xf numFmtId="14" fontId="16" fillId="0" borderId="2" xfId="60" quotePrefix="1" applyNumberFormat="1" applyFont="1" applyBorder="1" applyAlignment="1">
      <alignment horizontal="center" vertical="center"/>
    </xf>
    <xf numFmtId="168" fontId="16" fillId="0" borderId="2" xfId="60" applyNumberFormat="1" applyFont="1" applyBorder="1" applyAlignment="1">
      <alignment vertical="center"/>
    </xf>
    <xf numFmtId="164" fontId="16" fillId="0" borderId="2" xfId="61" applyFont="1" applyFill="1" applyBorder="1" applyAlignment="1">
      <alignment vertical="center"/>
    </xf>
    <xf numFmtId="0" fontId="16" fillId="0" borderId="0" xfId="60" applyFont="1" applyAlignment="1">
      <alignment vertical="center"/>
    </xf>
    <xf numFmtId="3" fontId="16" fillId="0" borderId="2" xfId="60" applyNumberFormat="1" applyFont="1" applyBorder="1" applyAlignment="1" applyProtection="1">
      <alignment horizontal="center" vertical="center"/>
      <protection locked="0"/>
    </xf>
    <xf numFmtId="0" fontId="41" fillId="0" borderId="2" xfId="60" applyFont="1" applyBorder="1" applyAlignment="1" applyProtection="1">
      <alignment horizontal="left" vertical="center"/>
      <protection locked="0"/>
    </xf>
    <xf numFmtId="0" fontId="9" fillId="0" borderId="2" xfId="0" applyFont="1" applyBorder="1" applyAlignment="1">
      <alignment horizontal="center" vertical="center" wrapText="1" readingOrder="1"/>
    </xf>
    <xf numFmtId="0" fontId="16" fillId="0" borderId="2" xfId="60" applyFont="1" applyBorder="1" applyAlignment="1" applyProtection="1">
      <alignment horizontal="center" vertical="center" wrapText="1"/>
      <protection locked="0"/>
    </xf>
    <xf numFmtId="0" fontId="42" fillId="0" borderId="2" xfId="0" applyFont="1" applyBorder="1" applyAlignment="1" applyProtection="1">
      <alignment horizontal="left" vertical="center"/>
      <protection locked="0"/>
    </xf>
    <xf numFmtId="0" fontId="26" fillId="0" borderId="2" xfId="60" applyFont="1" applyBorder="1" applyAlignment="1" applyProtection="1">
      <alignment horizontal="left" vertical="center"/>
      <protection locked="0"/>
    </xf>
    <xf numFmtId="49" fontId="26" fillId="0" borderId="2" xfId="60" applyNumberFormat="1" applyFont="1" applyBorder="1" applyAlignment="1" applyProtection="1">
      <alignment horizontal="left" vertical="center"/>
      <protection locked="0"/>
    </xf>
    <xf numFmtId="0" fontId="43" fillId="0" borderId="2" xfId="0" applyFont="1" applyBorder="1" applyAlignment="1" applyProtection="1">
      <alignment horizontal="left" vertical="center"/>
      <protection locked="0"/>
    </xf>
    <xf numFmtId="0" fontId="44" fillId="0" borderId="2" xfId="60" applyFont="1" applyBorder="1" applyAlignment="1">
      <alignment horizontal="left" vertical="center" wrapText="1"/>
    </xf>
    <xf numFmtId="0" fontId="26" fillId="0" borderId="2" xfId="60" applyFont="1" applyBorder="1" applyAlignment="1" applyProtection="1">
      <alignment horizontal="left" vertical="center" wrapText="1"/>
      <protection locked="0"/>
    </xf>
    <xf numFmtId="0" fontId="27" fillId="0" borderId="2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vertical="center"/>
    </xf>
    <xf numFmtId="0" fontId="45" fillId="0" borderId="2" xfId="60" applyFont="1" applyBorder="1" applyAlignment="1">
      <alignment horizontal="center" vertical="center"/>
    </xf>
    <xf numFmtId="0" fontId="19" fillId="0" borderId="2" xfId="60" applyFont="1" applyBorder="1" applyAlignment="1">
      <alignment horizontal="center" vertical="center" wrapText="1"/>
    </xf>
    <xf numFmtId="0" fontId="19" fillId="0" borderId="2" xfId="60" applyFont="1" applyBorder="1" applyAlignment="1">
      <alignment horizontal="left" vertical="center" wrapText="1"/>
    </xf>
    <xf numFmtId="168" fontId="15" fillId="0" borderId="2" xfId="60" applyNumberFormat="1" applyFont="1" applyBorder="1" applyAlignment="1">
      <alignment horizontal="center" vertical="center"/>
    </xf>
    <xf numFmtId="14" fontId="15" fillId="0" borderId="2" xfId="60" quotePrefix="1" applyNumberFormat="1" applyFont="1" applyBorder="1" applyAlignment="1">
      <alignment horizontal="center" vertical="center"/>
    </xf>
    <xf numFmtId="0" fontId="46" fillId="0" borderId="2" xfId="60" applyFont="1" applyBorder="1" applyAlignment="1">
      <alignment horizontal="center" vertical="center" wrapText="1"/>
    </xf>
    <xf numFmtId="0" fontId="15" fillId="0" borderId="2" xfId="60" applyFont="1" applyBorder="1" applyAlignment="1">
      <alignment horizontal="center" vertical="center"/>
    </xf>
    <xf numFmtId="0" fontId="16" fillId="0" borderId="2" xfId="60" applyFont="1" applyBorder="1" applyAlignment="1">
      <alignment horizontal="center" vertical="center"/>
    </xf>
    <xf numFmtId="0" fontId="26" fillId="0" borderId="2" xfId="0" applyFont="1" applyBorder="1" applyAlignment="1">
      <alignment horizontal="left" vertical="center" wrapText="1"/>
    </xf>
    <xf numFmtId="0" fontId="28" fillId="0" borderId="2" xfId="60" applyFont="1" applyBorder="1" applyAlignment="1">
      <alignment horizontal="center" vertical="center" wrapText="1"/>
    </xf>
    <xf numFmtId="0" fontId="44" fillId="0" borderId="2" xfId="60" applyFont="1" applyBorder="1" applyAlignment="1">
      <alignment horizontal="center" vertical="center" wrapText="1"/>
    </xf>
    <xf numFmtId="0" fontId="23" fillId="0" borderId="2" xfId="20" applyFont="1" applyBorder="1" applyAlignment="1">
      <alignment horizontal="left" vertical="center" wrapText="1"/>
    </xf>
    <xf numFmtId="0" fontId="26" fillId="0" borderId="2" xfId="60" applyFont="1" applyBorder="1" applyAlignment="1">
      <alignment horizontal="left" vertical="center"/>
    </xf>
    <xf numFmtId="0" fontId="12" fillId="0" borderId="2" xfId="2" applyFont="1" applyBorder="1" applyAlignment="1">
      <alignment vertical="center"/>
    </xf>
    <xf numFmtId="0" fontId="12" fillId="0" borderId="2" xfId="2" applyFont="1" applyBorder="1" applyAlignment="1">
      <alignment horizontal="left" vertical="center"/>
    </xf>
    <xf numFmtId="1" fontId="4" fillId="0" borderId="2" xfId="60" quotePrefix="1" applyNumberFormat="1" applyBorder="1" applyAlignment="1">
      <alignment vertical="center"/>
    </xf>
    <xf numFmtId="0" fontId="16" fillId="0" borderId="2" xfId="20" applyFont="1" applyBorder="1" applyAlignment="1">
      <alignment horizontal="center" vertical="center"/>
    </xf>
    <xf numFmtId="0" fontId="16" fillId="0" borderId="2" xfId="20" applyFont="1" applyBorder="1" applyAlignment="1">
      <alignment horizontal="left" vertical="center"/>
    </xf>
    <xf numFmtId="0" fontId="29" fillId="0" borderId="2" xfId="60" applyFont="1" applyBorder="1" applyAlignment="1">
      <alignment horizontal="center" vertical="center" wrapText="1"/>
    </xf>
    <xf numFmtId="0" fontId="16" fillId="0" borderId="0" xfId="60" applyFont="1" applyAlignment="1">
      <alignment horizontal="center"/>
    </xf>
    <xf numFmtId="0" fontId="46" fillId="0" borderId="2" xfId="60" applyFont="1" applyBorder="1" applyAlignment="1">
      <alignment horizontal="centerContinuous" vertical="center" wrapText="1"/>
    </xf>
    <xf numFmtId="43" fontId="15" fillId="0" borderId="30" xfId="1" applyFont="1" applyBorder="1" applyAlignment="1">
      <alignment horizontal="center" vertical="center"/>
    </xf>
    <xf numFmtId="43" fontId="15" fillId="0" borderId="19" xfId="1" applyFont="1" applyBorder="1" applyAlignment="1">
      <alignment horizontal="center" vertical="center"/>
    </xf>
    <xf numFmtId="43" fontId="14" fillId="0" borderId="2" xfId="1" applyFont="1" applyFill="1" applyBorder="1" applyAlignment="1">
      <alignment horizontal="center" vertical="center" wrapText="1"/>
    </xf>
    <xf numFmtId="169" fontId="37" fillId="0" borderId="30" xfId="1" applyNumberFormat="1" applyFont="1" applyFill="1" applyBorder="1" applyAlignment="1">
      <alignment horizontal="center" vertical="center" wrapText="1"/>
    </xf>
    <xf numFmtId="169" fontId="37" fillId="0" borderId="19" xfId="1" applyNumberFormat="1" applyFont="1" applyFill="1" applyBorder="1" applyAlignment="1">
      <alignment horizontal="center" vertical="center" wrapText="1"/>
    </xf>
    <xf numFmtId="169" fontId="33" fillId="0" borderId="2" xfId="1" applyNumberFormat="1" applyFont="1" applyFill="1" applyBorder="1" applyAlignment="1">
      <alignment horizontal="center" vertical="center"/>
    </xf>
    <xf numFmtId="43" fontId="33" fillId="0" borderId="0" xfId="1" applyFont="1" applyFill="1" applyAlignment="1">
      <alignment horizontal="center" vertical="center"/>
    </xf>
    <xf numFmtId="43" fontId="12" fillId="0" borderId="0" xfId="1" applyFont="1" applyFill="1" applyAlignment="1">
      <alignment vertical="center"/>
    </xf>
    <xf numFmtId="43" fontId="34" fillId="0" borderId="0" xfId="1" applyFont="1" applyFill="1"/>
    <xf numFmtId="43" fontId="33" fillId="0" borderId="0" xfId="1" applyFont="1" applyFill="1"/>
    <xf numFmtId="43" fontId="33" fillId="0" borderId="0" xfId="1" applyFont="1" applyFill="1" applyAlignment="1">
      <alignment horizontal="center" wrapText="1"/>
    </xf>
    <xf numFmtId="43" fontId="33" fillId="0" borderId="0" xfId="1" applyFont="1" applyFill="1" applyAlignment="1">
      <alignment horizontal="center"/>
    </xf>
    <xf numFmtId="43" fontId="36" fillId="0" borderId="0" xfId="1" applyFont="1" applyFill="1" applyAlignment="1">
      <alignment vertical="center" wrapText="1"/>
    </xf>
    <xf numFmtId="43" fontId="12" fillId="0" borderId="0" xfId="1" applyFont="1" applyFill="1"/>
    <xf numFmtId="0" fontId="47" fillId="0" borderId="0" xfId="0" applyFont="1"/>
    <xf numFmtId="0" fontId="48" fillId="0" borderId="0" xfId="0" applyFont="1"/>
    <xf numFmtId="0" fontId="49" fillId="0" borderId="0" xfId="0" applyFont="1"/>
    <xf numFmtId="43" fontId="33" fillId="2" borderId="0" xfId="1" applyFont="1" applyFill="1"/>
    <xf numFmtId="166" fontId="36" fillId="2" borderId="0" xfId="0" applyNumberFormat="1" applyFont="1" applyFill="1" applyAlignment="1">
      <alignment vertical="center" wrapText="1"/>
    </xf>
    <xf numFmtId="43" fontId="36" fillId="2" borderId="0" xfId="1" applyFont="1" applyFill="1" applyAlignment="1">
      <alignment vertical="center" wrapText="1"/>
    </xf>
    <xf numFmtId="166" fontId="12" fillId="2" borderId="0" xfId="0" applyNumberFormat="1" applyFont="1" applyFill="1"/>
    <xf numFmtId="43" fontId="12" fillId="2" borderId="0" xfId="1" applyFont="1" applyFill="1"/>
    <xf numFmtId="166" fontId="14" fillId="2" borderId="2" xfId="0" applyNumberFormat="1" applyFont="1" applyFill="1" applyBorder="1" applyAlignment="1">
      <alignment horizontal="center" vertical="center" wrapText="1"/>
    </xf>
    <xf numFmtId="43" fontId="14" fillId="2" borderId="2" xfId="1" applyFont="1" applyFill="1" applyBorder="1" applyAlignment="1">
      <alignment horizontal="center" vertical="center" wrapText="1"/>
    </xf>
    <xf numFmtId="169" fontId="37" fillId="2" borderId="30" xfId="1" applyNumberFormat="1" applyFont="1" applyFill="1" applyBorder="1" applyAlignment="1">
      <alignment horizontal="center" vertical="center" wrapText="1"/>
    </xf>
    <xf numFmtId="169" fontId="37" fillId="2" borderId="19" xfId="1" applyNumberFormat="1" applyFont="1" applyFill="1" applyBorder="1" applyAlignment="1">
      <alignment horizontal="center" vertical="center" wrapText="1"/>
    </xf>
    <xf numFmtId="169" fontId="33" fillId="2" borderId="2" xfId="1" applyNumberFormat="1" applyFont="1" applyFill="1" applyBorder="1" applyAlignment="1">
      <alignment horizontal="center" vertical="center"/>
    </xf>
    <xf numFmtId="166" fontId="33" fillId="2" borderId="0" xfId="0" applyNumberFormat="1" applyFont="1" applyFill="1" applyAlignment="1">
      <alignment horizontal="center" vertical="center"/>
    </xf>
    <xf numFmtId="43" fontId="33" fillId="2" borderId="0" xfId="1" applyFont="1" applyFill="1" applyAlignment="1">
      <alignment horizontal="center" vertical="center"/>
    </xf>
    <xf numFmtId="166" fontId="12" fillId="2" borderId="0" xfId="0" applyNumberFormat="1" applyFont="1" applyFill="1" applyAlignment="1">
      <alignment vertical="center"/>
    </xf>
    <xf numFmtId="43" fontId="12" fillId="2" borderId="0" xfId="1" applyFont="1" applyFill="1" applyAlignment="1">
      <alignment vertical="center"/>
    </xf>
    <xf numFmtId="166" fontId="34" fillId="2" borderId="0" xfId="0" applyNumberFormat="1" applyFont="1" applyFill="1"/>
    <xf numFmtId="43" fontId="34" fillId="2" borderId="0" xfId="1" applyFont="1" applyFill="1"/>
    <xf numFmtId="166" fontId="33" fillId="2" borderId="0" xfId="0" applyNumberFormat="1" applyFont="1" applyFill="1"/>
    <xf numFmtId="0" fontId="33" fillId="2" borderId="0" xfId="0" applyFont="1" applyFill="1" applyAlignment="1">
      <alignment horizontal="center" wrapText="1"/>
    </xf>
    <xf numFmtId="43" fontId="33" fillId="2" borderId="0" xfId="1" applyFont="1" applyFill="1" applyAlignment="1">
      <alignment horizontal="center" wrapText="1"/>
    </xf>
    <xf numFmtId="0" fontId="33" fillId="2" borderId="0" xfId="0" applyFont="1" applyFill="1" applyAlignment="1">
      <alignment horizontal="center"/>
    </xf>
    <xf numFmtId="43" fontId="33" fillId="2" borderId="0" xfId="1" applyFont="1" applyFill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15" fillId="0" borderId="2" xfId="0" applyFont="1" applyBorder="1" applyAlignment="1" applyProtection="1">
      <alignment horizontal="center" vertical="center"/>
      <protection locked="0"/>
    </xf>
    <xf numFmtId="0" fontId="14" fillId="0" borderId="2" xfId="0" applyFont="1" applyBorder="1" applyAlignment="1" applyProtection="1">
      <alignment horizontal="center" vertical="center"/>
      <protection locked="0"/>
    </xf>
    <xf numFmtId="0" fontId="15" fillId="0" borderId="2" xfId="0" applyFont="1" applyBorder="1" applyAlignment="1">
      <alignment horizontal="center" vertical="center" wrapText="1"/>
    </xf>
    <xf numFmtId="169" fontId="37" fillId="0" borderId="8" xfId="1" applyNumberFormat="1" applyFont="1" applyBorder="1" applyAlignment="1">
      <alignment vertical="center" wrapText="1"/>
    </xf>
    <xf numFmtId="169" fontId="0" fillId="0" borderId="8" xfId="1" applyNumberFormat="1" applyFont="1" applyBorder="1" applyAlignment="1" applyProtection="1">
      <alignment horizontal="center" vertical="center" wrapText="1"/>
      <protection locked="0"/>
    </xf>
    <xf numFmtId="169" fontId="12" fillId="0" borderId="8" xfId="1" applyNumberFormat="1" applyFont="1" applyBorder="1" applyAlignment="1" applyProtection="1">
      <alignment horizontal="left" vertical="center"/>
      <protection locked="0"/>
    </xf>
    <xf numFmtId="169" fontId="12" fillId="0" borderId="8" xfId="1" applyNumberFormat="1" applyFont="1" applyBorder="1" applyAlignment="1" applyProtection="1">
      <alignment horizontal="center" vertical="center"/>
      <protection locked="0"/>
    </xf>
    <xf numFmtId="169" fontId="37" fillId="0" borderId="8" xfId="1" applyNumberFormat="1" applyFont="1" applyBorder="1" applyAlignment="1">
      <alignment horizontal="center" vertical="center" wrapText="1"/>
    </xf>
    <xf numFmtId="169" fontId="37" fillId="2" borderId="8" xfId="1" applyNumberFormat="1" applyFont="1" applyFill="1" applyBorder="1" applyAlignment="1">
      <alignment horizontal="center" vertical="center" wrapText="1"/>
    </xf>
    <xf numFmtId="169" fontId="14" fillId="0" borderId="8" xfId="1" applyNumberFormat="1" applyFont="1" applyBorder="1" applyAlignment="1">
      <alignment horizontal="center" vertical="center" wrapText="1"/>
    </xf>
    <xf numFmtId="169" fontId="26" fillId="0" borderId="8" xfId="1" applyNumberFormat="1" applyFont="1" applyBorder="1" applyAlignment="1">
      <alignment horizontal="center" vertical="center" wrapText="1"/>
    </xf>
    <xf numFmtId="169" fontId="26" fillId="0" borderId="8" xfId="1" applyNumberFormat="1" applyFont="1" applyBorder="1" applyAlignment="1">
      <alignment horizontal="left" vertical="center" wrapText="1"/>
    </xf>
    <xf numFmtId="169" fontId="37" fillId="0" borderId="8" xfId="1" applyNumberFormat="1" applyFont="1" applyFill="1" applyBorder="1" applyAlignment="1">
      <alignment horizontal="center" vertical="center" wrapText="1"/>
    </xf>
    <xf numFmtId="169" fontId="38" fillId="0" borderId="8" xfId="1" applyNumberFormat="1" applyFont="1" applyBorder="1" applyAlignment="1">
      <alignment vertical="center"/>
    </xf>
    <xf numFmtId="43" fontId="14" fillId="0" borderId="8" xfId="1" applyFont="1" applyFill="1" applyBorder="1" applyAlignment="1">
      <alignment vertical="center"/>
    </xf>
    <xf numFmtId="169" fontId="14" fillId="0" borderId="8" xfId="1" applyNumberFormat="1" applyFont="1" applyBorder="1" applyAlignment="1">
      <alignment vertical="center" wrapText="1"/>
    </xf>
    <xf numFmtId="43" fontId="15" fillId="0" borderId="8" xfId="1" applyFont="1" applyBorder="1" applyAlignment="1">
      <alignment horizontal="center" vertical="center"/>
    </xf>
    <xf numFmtId="43" fontId="33" fillId="0" borderId="0" xfId="1" applyFont="1" applyFill="1" applyAlignment="1">
      <alignment wrapText="1"/>
    </xf>
    <xf numFmtId="169" fontId="26" fillId="0" borderId="19" xfId="1" applyNumberFormat="1" applyFont="1" applyFill="1" applyBorder="1" applyAlignment="1">
      <alignment horizontal="center" vertical="center" wrapText="1"/>
    </xf>
    <xf numFmtId="0" fontId="53" fillId="0" borderId="0" xfId="70" applyFont="1"/>
    <xf numFmtId="0" fontId="54" fillId="0" borderId="0" xfId="70" applyFont="1"/>
    <xf numFmtId="0" fontId="1" fillId="0" borderId="0" xfId="70"/>
    <xf numFmtId="0" fontId="57" fillId="0" borderId="0" xfId="69" applyFont="1" applyAlignment="1">
      <alignment horizontal="center"/>
    </xf>
    <xf numFmtId="0" fontId="57" fillId="0" borderId="0" xfId="69" applyFont="1"/>
    <xf numFmtId="0" fontId="55" fillId="3" borderId="2" xfId="70" applyFont="1" applyFill="1" applyBorder="1" applyAlignment="1">
      <alignment horizontal="center" vertical="center" wrapText="1"/>
    </xf>
    <xf numFmtId="0" fontId="56" fillId="0" borderId="0" xfId="70" applyFont="1" applyAlignment="1">
      <alignment horizontal="center" vertical="center"/>
    </xf>
    <xf numFmtId="0" fontId="56" fillId="0" borderId="0" xfId="70" applyFont="1"/>
    <xf numFmtId="0" fontId="53" fillId="0" borderId="0" xfId="70" applyFont="1" applyAlignment="1">
      <alignment horizontal="center" vertical="center"/>
    </xf>
    <xf numFmtId="0" fontId="53" fillId="0" borderId="0" xfId="70" applyFont="1"/>
    <xf numFmtId="0" fontId="54" fillId="3" borderId="2" xfId="70" applyFont="1" applyFill="1" applyBorder="1" applyAlignment="1">
      <alignment horizontal="center" vertical="center" wrapText="1"/>
    </xf>
    <xf numFmtId="0" fontId="22" fillId="0" borderId="0" xfId="0" applyFont="1" applyAlignment="1" applyProtection="1">
      <alignment horizontal="center"/>
      <protection locked="0"/>
    </xf>
    <xf numFmtId="0" fontId="14" fillId="0" borderId="2" xfId="0" applyFont="1" applyBorder="1" applyAlignment="1" applyProtection="1">
      <alignment horizontal="center" vertical="center" wrapText="1"/>
      <protection locked="0"/>
    </xf>
    <xf numFmtId="0" fontId="14" fillId="0" borderId="31" xfId="0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15" fillId="0" borderId="2" xfId="0" applyFont="1" applyBorder="1" applyAlignment="1" applyProtection="1">
      <alignment horizontal="center" vertical="center" wrapText="1"/>
      <protection locked="0"/>
    </xf>
    <xf numFmtId="0" fontId="20" fillId="0" borderId="2" xfId="0" applyFont="1" applyBorder="1" applyAlignment="1">
      <alignment horizontal="center" vertical="center" wrapText="1"/>
    </xf>
    <xf numFmtId="0" fontId="14" fillId="0" borderId="3" xfId="0" applyFont="1" applyBorder="1" applyAlignment="1" applyProtection="1">
      <alignment horizontal="center" vertical="center" wrapText="1"/>
      <protection locked="0"/>
    </xf>
    <xf numFmtId="0" fontId="14" fillId="0" borderId="8" xfId="0" applyFont="1" applyBorder="1" applyAlignment="1" applyProtection="1">
      <alignment horizontal="center" vertical="center" wrapText="1"/>
      <protection locked="0"/>
    </xf>
    <xf numFmtId="0" fontId="14" fillId="0" borderId="4" xfId="0" applyFont="1" applyBorder="1" applyAlignment="1" applyProtection="1">
      <alignment horizontal="center" vertical="center" wrapText="1"/>
      <protection locked="0"/>
    </xf>
    <xf numFmtId="0" fontId="15" fillId="0" borderId="2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4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49" fontId="14" fillId="0" borderId="5" xfId="0" applyNumberFormat="1" applyFont="1" applyBorder="1" applyAlignment="1">
      <alignment horizontal="center" vertical="center"/>
    </xf>
    <xf numFmtId="49" fontId="14" fillId="0" borderId="6" xfId="0" applyNumberFormat="1" applyFont="1" applyBorder="1" applyAlignment="1">
      <alignment horizontal="center" vertical="center"/>
    </xf>
    <xf numFmtId="49" fontId="14" fillId="0" borderId="7" xfId="0" applyNumberFormat="1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33" fillId="0" borderId="0" xfId="0" applyFont="1" applyAlignment="1">
      <alignment horizontal="center"/>
    </xf>
    <xf numFmtId="43" fontId="15" fillId="0" borderId="3" xfId="1" applyFont="1" applyBorder="1" applyAlignment="1">
      <alignment horizontal="center" vertical="center" wrapText="1"/>
    </xf>
    <xf numFmtId="43" fontId="15" fillId="0" borderId="4" xfId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43" fontId="14" fillId="0" borderId="3" xfId="1" applyFont="1" applyBorder="1" applyAlignment="1">
      <alignment horizontal="center" vertical="center" wrapText="1"/>
    </xf>
    <xf numFmtId="43" fontId="14" fillId="0" borderId="4" xfId="1" applyFont="1" applyBorder="1" applyAlignment="1">
      <alignment horizontal="center" vertical="center" wrapText="1"/>
    </xf>
    <xf numFmtId="49" fontId="14" fillId="0" borderId="3" xfId="0" applyNumberFormat="1" applyFont="1" applyBorder="1" applyAlignment="1">
      <alignment horizontal="center" vertical="center" wrapText="1"/>
    </xf>
    <xf numFmtId="49" fontId="14" fillId="0" borderId="4" xfId="0" applyNumberFormat="1" applyFont="1" applyBorder="1" applyAlignment="1">
      <alignment horizontal="center" vertical="center" wrapText="1"/>
    </xf>
    <xf numFmtId="49" fontId="14" fillId="2" borderId="5" xfId="0" applyNumberFormat="1" applyFont="1" applyFill="1" applyBorder="1" applyAlignment="1">
      <alignment horizontal="center" vertical="center"/>
    </xf>
    <xf numFmtId="49" fontId="14" fillId="2" borderId="6" xfId="0" applyNumberFormat="1" applyFont="1" applyFill="1" applyBorder="1" applyAlignment="1">
      <alignment horizontal="center" vertical="center"/>
    </xf>
    <xf numFmtId="49" fontId="14" fillId="2" borderId="7" xfId="0" applyNumberFormat="1" applyFont="1" applyFill="1" applyBorder="1" applyAlignment="1">
      <alignment horizontal="center" vertical="center"/>
    </xf>
    <xf numFmtId="0" fontId="15" fillId="0" borderId="0" xfId="6" applyFont="1" applyAlignment="1">
      <alignment horizontal="center" vertical="center"/>
    </xf>
    <xf numFmtId="0" fontId="26" fillId="0" borderId="0" xfId="6" applyFont="1" applyAlignment="1">
      <alignment horizontal="center" vertical="center"/>
    </xf>
    <xf numFmtId="0" fontId="27" fillId="0" borderId="9" xfId="5" applyFont="1" applyBorder="1" applyAlignment="1">
      <alignment horizontal="center" vertical="center"/>
    </xf>
    <xf numFmtId="0" fontId="27" fillId="0" borderId="8" xfId="5" applyFont="1" applyBorder="1" applyAlignment="1">
      <alignment horizontal="center" vertical="center"/>
    </xf>
    <xf numFmtId="0" fontId="27" fillId="0" borderId="21" xfId="5" applyFont="1" applyBorder="1" applyAlignment="1">
      <alignment horizontal="center" vertical="center"/>
    </xf>
    <xf numFmtId="0" fontId="27" fillId="0" borderId="0" xfId="5" applyFont="1" applyAlignment="1">
      <alignment horizontal="center" vertical="center"/>
    </xf>
    <xf numFmtId="0" fontId="15" fillId="0" borderId="21" xfId="5" applyFont="1" applyBorder="1" applyAlignment="1">
      <alignment horizontal="center" vertical="center"/>
    </xf>
    <xf numFmtId="0" fontId="16" fillId="0" borderId="21" xfId="5" applyFont="1" applyBorder="1" applyAlignment="1">
      <alignment horizontal="center" vertical="center"/>
    </xf>
    <xf numFmtId="0" fontId="27" fillId="0" borderId="8" xfId="5" applyFont="1" applyBorder="1" applyAlignment="1">
      <alignment horizontal="center" vertical="center" wrapText="1"/>
    </xf>
    <xf numFmtId="0" fontId="27" fillId="0" borderId="21" xfId="5" applyFont="1" applyBorder="1" applyAlignment="1">
      <alignment horizontal="center" vertical="center" wrapText="1"/>
    </xf>
    <xf numFmtId="0" fontId="27" fillId="0" borderId="13" xfId="5" applyFont="1" applyBorder="1" applyAlignment="1">
      <alignment horizontal="center" vertical="center" wrapText="1"/>
    </xf>
    <xf numFmtId="0" fontId="27" fillId="0" borderId="14" xfId="5" applyFont="1" applyBorder="1" applyAlignment="1">
      <alignment horizontal="center" vertical="center" wrapText="1"/>
    </xf>
    <xf numFmtId="0" fontId="27" fillId="0" borderId="15" xfId="5" applyFont="1" applyBorder="1" applyAlignment="1">
      <alignment horizontal="center" vertical="center" wrapText="1"/>
    </xf>
    <xf numFmtId="0" fontId="27" fillId="0" borderId="20" xfId="5" applyFont="1" applyBorder="1" applyAlignment="1">
      <alignment horizontal="center" vertical="center"/>
    </xf>
    <xf numFmtId="0" fontId="19" fillId="0" borderId="8" xfId="5" applyFont="1" applyBorder="1" applyAlignment="1">
      <alignment horizontal="center" vertical="center"/>
    </xf>
    <xf numFmtId="0" fontId="19" fillId="0" borderId="21" xfId="5" applyFont="1" applyBorder="1" applyAlignment="1">
      <alignment horizontal="center" vertical="center"/>
    </xf>
    <xf numFmtId="0" fontId="22" fillId="0" borderId="0" xfId="5" applyFont="1" applyAlignment="1">
      <alignment horizontal="center" vertical="center"/>
    </xf>
    <xf numFmtId="0" fontId="25" fillId="0" borderId="0" xfId="5" applyFont="1" applyAlignment="1">
      <alignment horizontal="center" vertical="center"/>
    </xf>
    <xf numFmtId="0" fontId="26" fillId="0" borderId="0" xfId="5" applyFont="1" applyAlignment="1">
      <alignment horizontal="left" vertical="center"/>
    </xf>
    <xf numFmtId="0" fontId="27" fillId="0" borderId="10" xfId="5" applyFont="1" applyBorder="1" applyAlignment="1">
      <alignment horizontal="center" vertical="center" wrapText="1"/>
    </xf>
    <xf numFmtId="0" fontId="27" fillId="0" borderId="19" xfId="5" applyFont="1" applyBorder="1" applyAlignment="1">
      <alignment horizontal="center" vertical="center" wrapText="1"/>
    </xf>
    <xf numFmtId="0" fontId="28" fillId="0" borderId="19" xfId="5" applyFont="1" applyBorder="1" applyAlignment="1">
      <alignment horizontal="center" vertical="center" wrapText="1"/>
    </xf>
    <xf numFmtId="0" fontId="27" fillId="0" borderId="11" xfId="5" applyFont="1" applyBorder="1" applyAlignment="1">
      <alignment horizontal="center" vertical="center"/>
    </xf>
    <xf numFmtId="0" fontId="27" fillId="0" borderId="12" xfId="5" applyFont="1" applyBorder="1" applyAlignment="1">
      <alignment horizontal="center" vertical="center"/>
    </xf>
    <xf numFmtId="0" fontId="27" fillId="0" borderId="16" xfId="5" applyFont="1" applyBorder="1" applyAlignment="1">
      <alignment horizontal="center" vertical="center" wrapText="1"/>
    </xf>
    <xf numFmtId="0" fontId="27" fillId="0" borderId="17" xfId="5" applyFont="1" applyBorder="1" applyAlignment="1">
      <alignment horizontal="center" vertical="center" wrapText="1"/>
    </xf>
    <xf numFmtId="0" fontId="27" fillId="0" borderId="18" xfId="5" applyFont="1" applyBorder="1" applyAlignment="1">
      <alignment horizontal="center" vertical="center"/>
    </xf>
    <xf numFmtId="0" fontId="15" fillId="0" borderId="22" xfId="5" applyFont="1" applyBorder="1" applyAlignment="1">
      <alignment horizontal="center" vertical="center"/>
    </xf>
    <xf numFmtId="0" fontId="53" fillId="0" borderId="0" xfId="70" applyFont="1" applyAlignment="1">
      <alignment horizontal="center"/>
    </xf>
    <xf numFmtId="0" fontId="1" fillId="0" borderId="0" xfId="70" applyAlignment="1">
      <alignment horizontal="center"/>
    </xf>
  </cellXfs>
  <cellStyles count="71">
    <cellStyle name="Chuẩn 2" xfId="6" xr:uid="{00000000-0005-0000-0000-000000000000}"/>
    <cellStyle name="Comma" xfId="1" builtinId="3"/>
    <cellStyle name="Comma 10" xfId="63" xr:uid="{00000000-0005-0000-0000-000002000000}"/>
    <cellStyle name="Comma 11" xfId="64" xr:uid="{00000000-0005-0000-0000-000003000000}"/>
    <cellStyle name="Comma 2" xfId="4" xr:uid="{00000000-0005-0000-0000-000004000000}"/>
    <cellStyle name="Comma 2 2" xfId="30" xr:uid="{00000000-0005-0000-0000-000005000000}"/>
    <cellStyle name="Comma 2 2 2" xfId="37" xr:uid="{00000000-0005-0000-0000-000006000000}"/>
    <cellStyle name="Comma 2 2 3" xfId="62" xr:uid="{00000000-0005-0000-0000-000007000000}"/>
    <cellStyle name="Comma 2 3" xfId="11" xr:uid="{00000000-0005-0000-0000-000008000000}"/>
    <cellStyle name="Comma 2 3 2" xfId="15" xr:uid="{00000000-0005-0000-0000-000009000000}"/>
    <cellStyle name="Comma 2 3 2 2" xfId="33" xr:uid="{00000000-0005-0000-0000-00000A000000}"/>
    <cellStyle name="Comma 2 3 3" xfId="26" xr:uid="{00000000-0005-0000-0000-00000B000000}"/>
    <cellStyle name="Comma 2 3 4" xfId="51" xr:uid="{00000000-0005-0000-0000-00000C000000}"/>
    <cellStyle name="Comma 2 4" xfId="12" xr:uid="{00000000-0005-0000-0000-00000D000000}"/>
    <cellStyle name="Comma 2 4 2" xfId="24" xr:uid="{00000000-0005-0000-0000-00000E000000}"/>
    <cellStyle name="Comma 2 4 3" xfId="49" xr:uid="{00000000-0005-0000-0000-00000F000000}"/>
    <cellStyle name="Comma 2 5" xfId="34" xr:uid="{00000000-0005-0000-0000-000010000000}"/>
    <cellStyle name="Comma 2 6" xfId="56" xr:uid="{00000000-0005-0000-0000-000011000000}"/>
    <cellStyle name="Comma 2 7" xfId="13" xr:uid="{00000000-0005-0000-0000-000012000000}"/>
    <cellStyle name="Comma 2 8" xfId="59" xr:uid="{00000000-0005-0000-0000-000013000000}"/>
    <cellStyle name="Comma 3" xfId="39" xr:uid="{00000000-0005-0000-0000-000014000000}"/>
    <cellStyle name="Comma 4" xfId="22" xr:uid="{00000000-0005-0000-0000-000015000000}"/>
    <cellStyle name="Comma 4 2" xfId="29" xr:uid="{00000000-0005-0000-0000-000016000000}"/>
    <cellStyle name="Comma 4 3" xfId="54" xr:uid="{00000000-0005-0000-0000-000017000000}"/>
    <cellStyle name="Comma 5" xfId="43" xr:uid="{00000000-0005-0000-0000-000018000000}"/>
    <cellStyle name="Comma 6" xfId="47" xr:uid="{00000000-0005-0000-0000-000019000000}"/>
    <cellStyle name="Comma 7" xfId="48" xr:uid="{00000000-0005-0000-0000-00001A000000}"/>
    <cellStyle name="Comma 7 2" xfId="68" xr:uid="{00000000-0005-0000-0000-00001B000000}"/>
    <cellStyle name="Comma 8" xfId="8" xr:uid="{00000000-0005-0000-0000-00001C000000}"/>
    <cellStyle name="Comma 9" xfId="61" xr:uid="{00000000-0005-0000-0000-00001D000000}"/>
    <cellStyle name="Hyperlink 2" xfId="21" xr:uid="{00000000-0005-0000-0000-00001E000000}"/>
    <cellStyle name="Normal" xfId="0" builtinId="0"/>
    <cellStyle name="Normal 10" xfId="46" xr:uid="{00000000-0005-0000-0000-000020000000}"/>
    <cellStyle name="Normal 11" xfId="7" xr:uid="{00000000-0005-0000-0000-000021000000}"/>
    <cellStyle name="Normal 12" xfId="69" xr:uid="{00000000-0005-0000-0000-000022000000}"/>
    <cellStyle name="Normal 13" xfId="70" xr:uid="{00000000-0005-0000-0000-000023000000}"/>
    <cellStyle name="Normal 2" xfId="3" xr:uid="{00000000-0005-0000-0000-000024000000}"/>
    <cellStyle name="Normal 2 125" xfId="32" xr:uid="{00000000-0005-0000-0000-000025000000}"/>
    <cellStyle name="Normal 2 2" xfId="20" xr:uid="{00000000-0005-0000-0000-000026000000}"/>
    <cellStyle name="Normal 2 3" xfId="10" xr:uid="{00000000-0005-0000-0000-000027000000}"/>
    <cellStyle name="Normal 2 3 2" xfId="19" xr:uid="{00000000-0005-0000-0000-000028000000}"/>
    <cellStyle name="Normal 2 3 2 2" xfId="28" xr:uid="{00000000-0005-0000-0000-000029000000}"/>
    <cellStyle name="Normal 2 3 2 3" xfId="53" xr:uid="{00000000-0005-0000-0000-00002A000000}"/>
    <cellStyle name="Normal 3" xfId="23" xr:uid="{00000000-0005-0000-0000-00002B000000}"/>
    <cellStyle name="Normal 3 2" xfId="31" xr:uid="{00000000-0005-0000-0000-00002C000000}"/>
    <cellStyle name="Normal 3 2 2" xfId="65" xr:uid="{00000000-0005-0000-0000-00002D000000}"/>
    <cellStyle name="Normal 3 3" xfId="35" xr:uid="{00000000-0005-0000-0000-00002E000000}"/>
    <cellStyle name="Normal 3 4" xfId="40" xr:uid="{00000000-0005-0000-0000-00002F000000}"/>
    <cellStyle name="Normal 3 5" xfId="44" xr:uid="{00000000-0005-0000-0000-000030000000}"/>
    <cellStyle name="Normal 3 6" xfId="55" xr:uid="{00000000-0005-0000-0000-000031000000}"/>
    <cellStyle name="Normal 3 7" xfId="60" xr:uid="{00000000-0005-0000-0000-000032000000}"/>
    <cellStyle name="Normal 4" xfId="2" xr:uid="{00000000-0005-0000-0000-000033000000}"/>
    <cellStyle name="Normal 5" xfId="38" xr:uid="{00000000-0005-0000-0000-000034000000}"/>
    <cellStyle name="Normal 5 2" xfId="58" xr:uid="{00000000-0005-0000-0000-000035000000}"/>
    <cellStyle name="Normal 57 4" xfId="66" xr:uid="{00000000-0005-0000-0000-000036000000}"/>
    <cellStyle name="Normal 6" xfId="18" xr:uid="{00000000-0005-0000-0000-000037000000}"/>
    <cellStyle name="Normal 6 2" xfId="27" xr:uid="{00000000-0005-0000-0000-000038000000}"/>
    <cellStyle name="Normal 6 3" xfId="36" xr:uid="{00000000-0005-0000-0000-000039000000}"/>
    <cellStyle name="Normal 6 4" xfId="52" xr:uid="{00000000-0005-0000-0000-00003A000000}"/>
    <cellStyle name="Normal 7" xfId="16" xr:uid="{00000000-0005-0000-0000-00003B000000}"/>
    <cellStyle name="Normal 8" xfId="14" xr:uid="{00000000-0005-0000-0000-00003C000000}"/>
    <cellStyle name="Normal 8 2" xfId="25" xr:uid="{00000000-0005-0000-0000-00003D000000}"/>
    <cellStyle name="Normal 8 3" xfId="50" xr:uid="{00000000-0005-0000-0000-00003E000000}"/>
    <cellStyle name="Normal 9" xfId="42" xr:uid="{00000000-0005-0000-0000-00003F000000}"/>
    <cellStyle name="Normal 9 2" xfId="57" xr:uid="{00000000-0005-0000-0000-000040000000}"/>
    <cellStyle name="Normal 9 3" xfId="67" xr:uid="{00000000-0005-0000-0000-000041000000}"/>
    <cellStyle name="Normal_Sheet1 2" xfId="5" xr:uid="{00000000-0005-0000-0000-000043000000}"/>
    <cellStyle name="Percent 2" xfId="41" xr:uid="{00000000-0005-0000-0000-000044000000}"/>
    <cellStyle name="Percent 3" xfId="17" xr:uid="{00000000-0005-0000-0000-000045000000}"/>
    <cellStyle name="Percent 4" xfId="45" xr:uid="{00000000-0005-0000-0000-000046000000}"/>
    <cellStyle name="Percent 5" xfId="9" xr:uid="{00000000-0005-0000-0000-000047000000}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b/>
        <i/>
      </font>
      <fill>
        <patternFill>
          <bgColor theme="8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5</xdr:row>
      <xdr:rowOff>123826</xdr:rowOff>
    </xdr:from>
    <xdr:to>
      <xdr:col>7</xdr:col>
      <xdr:colOff>165099</xdr:colOff>
      <xdr:row>22</xdr:row>
      <xdr:rowOff>127000</xdr:rowOff>
    </xdr:to>
    <xdr:sp macro="" textlink="">
      <xdr:nvSpPr>
        <xdr:cNvPr id="2" name="Text Box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120650" y="1044576"/>
          <a:ext cx="4311649" cy="3140074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1">
            <a:defRPr sz="1000"/>
          </a:pPr>
          <a:r>
            <a:rPr lang="vi-VN" sz="10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1">
            <a:defRPr sz="1000"/>
          </a:pPr>
          <a:r>
            <a:rPr lang="vi-VN" sz="1000" b="1" i="0" u="sng" strike="noStrike">
              <a:solidFill>
                <a:srgbClr val="000000"/>
              </a:solidFill>
              <a:latin typeface="Arial"/>
              <a:cs typeface="Arial"/>
            </a:rPr>
            <a:t>BẢNG KÝ HIỆU</a:t>
          </a:r>
          <a:endParaRPr lang="vi-VN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vi-VN" sz="10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1">
            <a:defRPr sz="1000"/>
          </a:pPr>
          <a:r>
            <a:rPr lang="vi-VN" sz="1000" b="0" i="0" strike="noStrike">
              <a:solidFill>
                <a:srgbClr val="000000"/>
              </a:solidFill>
              <a:latin typeface="Arial"/>
              <a:cs typeface="Arial"/>
            </a:rPr>
            <a:t>P 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/PS/</a:t>
          </a:r>
          <a:r>
            <a:rPr lang="en-US" sz="1000" b="0" i="0" strike="noStrike" baseline="0">
              <a:solidFill>
                <a:srgbClr val="000000"/>
              </a:solidFill>
              <a:latin typeface="Arial"/>
              <a:cs typeface="Arial"/>
            </a:rPr>
            <a:t>PC/P7: </a:t>
          </a:r>
          <a:r>
            <a:rPr lang="vi-VN" sz="1000" b="0" i="0" strike="noStrike">
              <a:solidFill>
                <a:srgbClr val="000000"/>
              </a:solidFill>
              <a:latin typeface="Arial"/>
              <a:cs typeface="Arial"/>
            </a:rPr>
            <a:t>Nghỉ phép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/Nghỉ</a:t>
          </a:r>
          <a:r>
            <a:rPr lang="en-US" sz="1000" b="0" i="0" strike="noStrike" baseline="0">
              <a:solidFill>
                <a:srgbClr val="000000"/>
              </a:solidFill>
              <a:latin typeface="Arial"/>
              <a:cs typeface="Arial"/>
            </a:rPr>
            <a:t> phép sáng/Nghỉ phép chiều/Nghỉ phép T7.</a:t>
          </a:r>
        </a:p>
        <a:p>
          <a:pPr algn="l" rtl="1">
            <a:defRPr sz="1000"/>
          </a:pPr>
          <a:r>
            <a:rPr lang="en-US" sz="1000" b="0" i="0" strike="noStrike" baseline="0">
              <a:solidFill>
                <a:srgbClr val="000000"/>
              </a:solidFill>
              <a:latin typeface="Arial"/>
              <a:cs typeface="Arial"/>
            </a:rPr>
            <a:t>B/BS/BC/B7: Nghỉ bù/Nghỉ bù sáng/Nghỉ bù chiều/Nghỉ bù T7. </a:t>
          </a:r>
          <a:r>
            <a:rPr lang="vi-VN" sz="10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BP:</a:t>
          </a:r>
          <a:r>
            <a:rPr lang="en-US" sz="1000" b="0" i="0" strike="noStrike" baseline="0">
              <a:solidFill>
                <a:srgbClr val="000000"/>
              </a:solidFill>
              <a:latin typeface="Arial"/>
              <a:cs typeface="Arial"/>
            </a:rPr>
            <a:t> Nghỉ 0.5 bù + 0.5 phép</a:t>
          </a: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vi-VN" sz="1000" b="0" i="0" strike="noStrike">
              <a:solidFill>
                <a:srgbClr val="000000"/>
              </a:solidFill>
              <a:latin typeface="Arial"/>
              <a:cs typeface="Arial"/>
            </a:rPr>
            <a:t>H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/HS/HC</a:t>
          </a:r>
          <a:r>
            <a:rPr lang="vi-VN" sz="10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:</a:t>
          </a:r>
          <a:r>
            <a:rPr lang="en-US" sz="10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vi-VN" sz="1000" b="0" i="0" strike="noStrike">
              <a:solidFill>
                <a:srgbClr val="000000"/>
              </a:solidFill>
              <a:latin typeface="Arial"/>
              <a:cs typeface="Arial"/>
            </a:rPr>
            <a:t>Holiday / ngày nghỉ Lễ, Tết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/Nghỉ</a:t>
          </a:r>
          <a:r>
            <a:rPr lang="en-US" sz="1000" b="0" i="0" strike="noStrike" baseline="0">
              <a:solidFill>
                <a:srgbClr val="000000"/>
              </a:solidFill>
              <a:latin typeface="Arial"/>
              <a:cs typeface="Arial"/>
            </a:rPr>
            <a:t> lễ tết sáng/Nghỉ lễ tết chiều.</a:t>
          </a:r>
          <a:endParaRPr lang="vi-VN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vi-VN" sz="1000" b="0" i="0" strike="noStrike">
              <a:solidFill>
                <a:srgbClr val="000000"/>
              </a:solidFill>
              <a:latin typeface="Arial"/>
              <a:cs typeface="Arial"/>
            </a:rPr>
            <a:t>S 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/S7:</a:t>
          </a:r>
          <a:r>
            <a:rPr lang="en-US" sz="10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vi-VN" sz="1000" b="0" i="0" strike="noStrike">
              <a:solidFill>
                <a:srgbClr val="000000"/>
              </a:solidFill>
              <a:latin typeface="Arial"/>
              <a:cs typeface="Arial"/>
            </a:rPr>
            <a:t>Bao gồm nghỉ khám thai, sảy thai, sinh con </a:t>
          </a:r>
        </a:p>
        <a:p>
          <a:pPr algn="l" rtl="1">
            <a:defRPr sz="1000"/>
          </a:pPr>
          <a:r>
            <a:rPr lang="vi-VN" sz="1000" b="0" i="0" strike="noStrike">
              <a:solidFill>
                <a:srgbClr val="000000"/>
              </a:solidFill>
              <a:latin typeface="Arial"/>
              <a:cs typeface="Arial"/>
            </a:rPr>
            <a:t>R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/RS/RC:</a:t>
          </a:r>
          <a:r>
            <a:rPr lang="en-US" sz="10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vi-VN" sz="1000" b="0" i="0" strike="noStrike">
              <a:solidFill>
                <a:srgbClr val="000000"/>
              </a:solidFill>
              <a:latin typeface="Arial"/>
              <a:cs typeface="Arial"/>
            </a:rPr>
            <a:t>Nghỉ việc riêng được hưởng lương theo Quy chế Cty: cưới, tang …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/Nghỉ</a:t>
          </a:r>
          <a:r>
            <a:rPr lang="en-US" sz="10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1">
            <a:defRPr sz="1000"/>
          </a:pPr>
          <a:r>
            <a:rPr lang="en-US" sz="1000" b="0" i="0" strike="noStrike" baseline="0">
              <a:solidFill>
                <a:srgbClr val="000000"/>
              </a:solidFill>
              <a:latin typeface="Arial"/>
              <a:cs typeface="Arial"/>
            </a:rPr>
            <a:t>riêng sáng/Nghỉ việc riêng chiều.</a:t>
          </a:r>
          <a:r>
            <a:rPr lang="vi-VN" sz="10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O</a:t>
          </a:r>
          <a:r>
            <a:rPr lang="vi-VN" sz="10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:</a:t>
          </a:r>
          <a:r>
            <a:rPr lang="en-US" sz="10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vi-VN" sz="1000" b="0" i="0" strike="noStrike">
              <a:solidFill>
                <a:srgbClr val="000000"/>
              </a:solidFill>
              <a:latin typeface="Arial"/>
              <a:cs typeface="Arial"/>
            </a:rPr>
            <a:t>Nghỉ ốm hưởng Bảo hiểm gồm con ốm, bản thân ốm và nghỉ nằm viện điều trị </a:t>
          </a:r>
        </a:p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K</a:t>
          </a:r>
          <a:r>
            <a:rPr lang="vi-VN" sz="1000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/K7:</a:t>
          </a:r>
          <a:r>
            <a:rPr lang="en-US" sz="10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vi-VN" sz="1000" b="0" i="0" strike="noStrike">
              <a:solidFill>
                <a:srgbClr val="000000"/>
              </a:solidFill>
              <a:latin typeface="Arial"/>
              <a:cs typeface="Arial"/>
            </a:rPr>
            <a:t>Nghỉ không lương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/Nghỉ</a:t>
          </a:r>
          <a:r>
            <a:rPr lang="en-US" sz="1000" b="0" i="0" strike="noStrike" baseline="0">
              <a:solidFill>
                <a:srgbClr val="000000"/>
              </a:solidFill>
              <a:latin typeface="Arial"/>
              <a:cs typeface="Arial"/>
            </a:rPr>
            <a:t> không lương vào T7</a:t>
          </a:r>
          <a:endParaRPr lang="en-US" sz="1100" b="0" i="0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KL:</a:t>
          </a:r>
          <a:r>
            <a:rPr lang="en-US" sz="1100" b="0" i="0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100" b="0" i="0" strike="noStrike">
              <a:solidFill>
                <a:srgbClr val="000000"/>
              </a:solidFill>
              <a:latin typeface="Arial"/>
              <a:cs typeface="Arial"/>
            </a:rPr>
            <a:t>1/2 Nghỉ</a:t>
          </a:r>
          <a:r>
            <a:rPr lang="en-US" sz="1100" b="0" i="0" strike="noStrike" baseline="0">
              <a:solidFill>
                <a:srgbClr val="000000"/>
              </a:solidFill>
              <a:latin typeface="Arial"/>
              <a:cs typeface="Arial"/>
            </a:rPr>
            <a:t> phép, 1/2 Nghỉ không lương.</a:t>
          </a:r>
        </a:p>
        <a:p>
          <a:pPr algn="l" rtl="1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B1: Nghỉ bù cho những ngày làm việc thực tế, được tính tiền ăn ca. </a:t>
          </a:r>
        </a:p>
        <a:p>
          <a:pPr algn="l" rtl="1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Arial"/>
              <a:cs typeface="Arial"/>
            </a:rPr>
            <a:t>T7: Làm việc nửa ngày, tổng công tháng đã đủ công chuẩn.</a:t>
          </a:r>
        </a:p>
        <a:p>
          <a:pPr marL="0" marR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N, N/2: Ngừng việc 1 ngày, nửa ngày: </a:t>
          </a:r>
        </a:p>
        <a:p>
          <a:pPr marL="0" marR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Arial"/>
              <a:ea typeface="+mn-ea"/>
              <a:cs typeface="Arial"/>
            </a:rPr>
            <a:t>D/DS/DC/D7: Đào tạo/Đào tạo sáng/Đào tạo chiều/Đào tạo nửa ngày</a:t>
          </a:r>
        </a:p>
        <a:p>
          <a:pPr marL="0" marR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100" b="0" i="0" strike="noStrike" baseline="0">
            <a:solidFill>
              <a:srgbClr val="000000"/>
            </a:solidFill>
            <a:latin typeface="Arial"/>
            <a:ea typeface="+mn-ea"/>
            <a:cs typeface="Arial"/>
          </a:endParaRPr>
        </a:p>
        <a:p>
          <a:pPr algn="l" rtl="1">
            <a:defRPr sz="1000"/>
          </a:pPr>
          <a:endParaRPr lang="en-US" sz="1100" b="0" i="0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9</xdr:col>
      <xdr:colOff>85724</xdr:colOff>
      <xdr:row>0</xdr:row>
      <xdr:rowOff>0</xdr:rowOff>
    </xdr:from>
    <xdr:to>
      <xdr:col>12</xdr:col>
      <xdr:colOff>342899</xdr:colOff>
      <xdr:row>2</xdr:row>
      <xdr:rowOff>161926</xdr:rowOff>
    </xdr:to>
    <xdr:sp macro="" textlink="">
      <xdr:nvSpPr>
        <xdr:cNvPr id="3" name="Rounded Rectangular Callou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H="1">
          <a:off x="5572124" y="47626"/>
          <a:ext cx="2085975" cy="1257300"/>
        </a:xfrm>
        <a:prstGeom prst="wedgeRoundRectCallout">
          <a:avLst>
            <a:gd name="adj1" fmla="val 153873"/>
            <a:gd name="adj2" fmla="val 5795"/>
            <a:gd name="adj3" fmla="val 16667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>
              <a:solidFill>
                <a:srgbClr val="FF0000"/>
              </a:solidFill>
            </a:rPr>
            <a:t>Lưu</a:t>
          </a:r>
          <a:r>
            <a:rPr lang="en-US" sz="1100" b="1" baseline="0">
              <a:solidFill>
                <a:srgbClr val="FF0000"/>
              </a:solidFill>
            </a:rPr>
            <a:t> ý</a:t>
          </a:r>
          <a:r>
            <a:rPr lang="en-US" sz="1100" baseline="0"/>
            <a:t>: </a:t>
          </a:r>
          <a:r>
            <a:rPr lang="en-US" sz="1100"/>
            <a:t>Các</a:t>
          </a:r>
          <a:r>
            <a:rPr lang="en-US" sz="1100" baseline="0"/>
            <a:t> dữ liệu trên  sheet đang là dữ liệu mẫu, anh/chị vui lòng xóa cột mã nhân viên để thực hiện lại </a:t>
          </a:r>
        </a:p>
        <a:p>
          <a:pPr algn="l"/>
          <a:r>
            <a:rPr lang="en-US" sz="1100" baseline="0"/>
            <a:t>*Bản in: Chỉ in đến trang có dữ liệu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M6"/>
  <sheetViews>
    <sheetView tabSelected="1" zoomScale="85" zoomScaleNormal="85" workbookViewId="0">
      <selection activeCell="D14" sqref="D14"/>
    </sheetView>
  </sheetViews>
  <sheetFormatPr defaultColWidth="9.140625" defaultRowHeight="15" x14ac:dyDescent="0.25"/>
  <cols>
    <col min="1" max="1" width="9.140625" style="267"/>
    <col min="2" max="2" width="15.28515625" style="341" customWidth="1"/>
    <col min="3" max="3" width="20" style="267" customWidth="1"/>
    <col min="4" max="4" width="19.7109375" style="267" customWidth="1"/>
    <col min="5" max="5" width="9.5703125" style="267" customWidth="1"/>
    <col min="6" max="6" width="20" style="267" customWidth="1"/>
    <col min="7" max="12" width="8.7109375" style="341" customWidth="1"/>
    <col min="13" max="13" width="50" style="267" customWidth="1"/>
    <col min="14" max="16384" width="9.140625" style="267"/>
  </cols>
  <sheetData>
    <row r="1" spans="1:13" s="265" customFormat="1" ht="20.25" x14ac:dyDescent="0.3">
      <c r="A1" s="271" t="s">
        <v>180</v>
      </c>
      <c r="B1" s="272"/>
      <c r="C1" s="272"/>
      <c r="D1" s="272"/>
      <c r="E1" s="272"/>
      <c r="F1" s="272"/>
      <c r="G1" s="272"/>
      <c r="H1" s="271"/>
      <c r="I1" s="340"/>
      <c r="J1" s="340"/>
      <c r="K1" s="340"/>
      <c r="L1" s="340"/>
    </row>
    <row r="2" spans="1:13" s="265" customFormat="1" ht="20.25" x14ac:dyDescent="0.3">
      <c r="A2" s="273" t="s">
        <v>181</v>
      </c>
      <c r="B2" s="274" t="s">
        <v>24</v>
      </c>
      <c r="C2" s="274" t="s">
        <v>24</v>
      </c>
      <c r="D2" s="274" t="s">
        <v>24</v>
      </c>
      <c r="E2" s="274" t="s">
        <v>24</v>
      </c>
      <c r="F2" s="274" t="s">
        <v>24</v>
      </c>
      <c r="G2" s="274" t="s">
        <v>24</v>
      </c>
      <c r="H2" s="273"/>
      <c r="I2" s="340" t="s">
        <v>24</v>
      </c>
      <c r="J2" s="340" t="s">
        <v>24</v>
      </c>
      <c r="K2" s="340" t="s">
        <v>24</v>
      </c>
      <c r="L2" s="340"/>
    </row>
    <row r="3" spans="1:13" s="266" customFormat="1" ht="30" customHeight="1" x14ac:dyDescent="0.25">
      <c r="A3" s="275" t="s">
        <v>42</v>
      </c>
      <c r="B3" s="275" t="s">
        <v>77</v>
      </c>
      <c r="C3" s="275" t="s">
        <v>43</v>
      </c>
      <c r="D3" s="275" t="s">
        <v>171</v>
      </c>
      <c r="E3" s="275" t="s">
        <v>172</v>
      </c>
      <c r="F3" s="275" t="s">
        <v>173</v>
      </c>
      <c r="G3" s="275" t="s">
        <v>174</v>
      </c>
      <c r="H3" s="275"/>
      <c r="I3" s="275" t="s">
        <v>175</v>
      </c>
      <c r="J3" s="275"/>
      <c r="K3" s="275" t="s">
        <v>176</v>
      </c>
      <c r="L3" s="275"/>
      <c r="M3" s="275" t="s">
        <v>177</v>
      </c>
    </row>
    <row r="4" spans="1:13" s="266" customFormat="1" ht="30" x14ac:dyDescent="0.25">
      <c r="A4" s="275"/>
      <c r="B4" s="275"/>
      <c r="C4" s="275"/>
      <c r="D4" s="275"/>
      <c r="E4" s="275"/>
      <c r="F4" s="275"/>
      <c r="G4" s="270" t="s">
        <v>179</v>
      </c>
      <c r="H4" s="270" t="s">
        <v>178</v>
      </c>
      <c r="I4" s="270" t="s">
        <v>179</v>
      </c>
      <c r="J4" s="270" t="s">
        <v>178</v>
      </c>
      <c r="K4" s="270" t="s">
        <v>179</v>
      </c>
      <c r="L4" s="270" t="s">
        <v>178</v>
      </c>
      <c r="M4" s="275"/>
    </row>
    <row r="5" spans="1:13" ht="18.75" x14ac:dyDescent="0.3">
      <c r="B5" s="268"/>
      <c r="C5" s="269"/>
    </row>
    <row r="6" spans="1:13" ht="18.75" x14ac:dyDescent="0.3">
      <c r="B6" s="268"/>
      <c r="C6" s="269"/>
    </row>
  </sheetData>
  <mergeCells count="12">
    <mergeCell ref="M3:M4"/>
    <mergeCell ref="G3:H3"/>
    <mergeCell ref="I3:J3"/>
    <mergeCell ref="K3:L3"/>
    <mergeCell ref="A1:H1"/>
    <mergeCell ref="A2:H2"/>
    <mergeCell ref="A3:A4"/>
    <mergeCell ref="B3:B4"/>
    <mergeCell ref="C3:C4"/>
    <mergeCell ref="D3:D4"/>
    <mergeCell ref="E3:E4"/>
    <mergeCell ref="F3:F4"/>
  </mergeCells>
  <pageMargins left="0.33" right="0.33" top="0.25" bottom="0.75" header="0.3" footer="0.3"/>
  <pageSetup scale="5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>
    <tabColor rgb="FFC00000"/>
  </sheetPr>
  <dimension ref="A1:E26"/>
  <sheetViews>
    <sheetView topLeftCell="A4" workbookViewId="0">
      <selection activeCell="D33" sqref="D33"/>
    </sheetView>
  </sheetViews>
  <sheetFormatPr defaultRowHeight="15" x14ac:dyDescent="0.25"/>
  <sheetData>
    <row r="1" spans="1:1" x14ac:dyDescent="0.25">
      <c r="A1" s="4" t="s">
        <v>22</v>
      </c>
    </row>
    <row r="2" spans="1:1" x14ac:dyDescent="0.25">
      <c r="A2" t="s">
        <v>19</v>
      </c>
    </row>
    <row r="3" spans="1:1" x14ac:dyDescent="0.25">
      <c r="A3" t="s">
        <v>21</v>
      </c>
    </row>
    <row r="4" spans="1:1" x14ac:dyDescent="0.25">
      <c r="A4" t="s">
        <v>23</v>
      </c>
    </row>
    <row r="5" spans="1:1" x14ac:dyDescent="0.25">
      <c r="A5" t="s">
        <v>20</v>
      </c>
    </row>
    <row r="14" spans="1:1" ht="15" customHeight="1" x14ac:dyDescent="0.25"/>
    <row r="24" spans="1:5" x14ac:dyDescent="0.25">
      <c r="A24" t="s">
        <v>159</v>
      </c>
      <c r="B24" t="s">
        <v>161</v>
      </c>
      <c r="E24" t="s">
        <v>165</v>
      </c>
    </row>
    <row r="25" spans="1:5" x14ac:dyDescent="0.25">
      <c r="A25" t="s">
        <v>164</v>
      </c>
      <c r="B25" t="s">
        <v>162</v>
      </c>
    </row>
    <row r="26" spans="1:5" x14ac:dyDescent="0.25">
      <c r="A26" t="s">
        <v>160</v>
      </c>
      <c r="B26" t="s">
        <v>163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A27"/>
  <sheetViews>
    <sheetView zoomScale="80" zoomScaleNormal="80" zoomScaleSheetLayoutView="100" workbookViewId="0">
      <pane xSplit="5" ySplit="9" topLeftCell="F10" activePane="bottomRight" state="frozen"/>
      <selection activeCell="R12" sqref="R12"/>
      <selection pane="topRight" activeCell="R12" sqref="R12"/>
      <selection pane="bottomLeft" activeCell="R12" sqref="R12"/>
      <selection pane="bottomRight" activeCell="F9" sqref="F9"/>
    </sheetView>
  </sheetViews>
  <sheetFormatPr defaultColWidth="9.140625" defaultRowHeight="15" x14ac:dyDescent="0.25"/>
  <cols>
    <col min="1" max="1" width="7" style="2" customWidth="1"/>
    <col min="2" max="2" width="9.85546875" style="10" customWidth="1"/>
    <col min="3" max="3" width="18.5703125" style="10" customWidth="1"/>
    <col min="4" max="4" width="12.85546875" style="10" customWidth="1"/>
    <col min="5" max="5" width="24.42578125" style="10" customWidth="1"/>
    <col min="6" max="36" width="7.140625" style="2" customWidth="1"/>
    <col min="37" max="37" width="11.140625" style="7" customWidth="1"/>
    <col min="38" max="42" width="9.85546875" style="2" customWidth="1"/>
    <col min="43" max="43" width="9.85546875" style="7" customWidth="1"/>
    <col min="44" max="46" width="9.85546875" style="2" customWidth="1"/>
    <col min="47" max="47" width="6.140625" style="2" hidden="1" customWidth="1"/>
    <col min="48" max="48" width="9.5703125" style="2" hidden="1" customWidth="1"/>
    <col min="49" max="49" width="6.140625" style="2" hidden="1" customWidth="1"/>
    <col min="50" max="51" width="9.140625" style="2"/>
    <col min="52" max="53" width="9.140625" style="2" customWidth="1"/>
    <col min="54" max="16384" width="9.140625" style="2"/>
  </cols>
  <sheetData>
    <row r="1" spans="1:53" x14ac:dyDescent="0.25">
      <c r="B1" s="2"/>
      <c r="C1" s="2"/>
      <c r="D1" s="2"/>
      <c r="E1" s="2"/>
    </row>
    <row r="2" spans="1:53" ht="38.25" customHeight="1" x14ac:dyDescent="0.25">
      <c r="B2" s="58" t="s">
        <v>7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M2" s="54"/>
      <c r="AN2" s="54"/>
      <c r="AO2" s="54"/>
      <c r="AP2" s="54"/>
      <c r="AQ2" s="55"/>
      <c r="AR2" s="54"/>
      <c r="AS2" s="54"/>
      <c r="AT2" s="54"/>
      <c r="AU2" s="54"/>
      <c r="AV2" s="54"/>
      <c r="AW2" s="54"/>
    </row>
    <row r="3" spans="1:53" ht="16.5" customHeight="1" x14ac:dyDescent="0.25"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M3" s="54"/>
      <c r="AN3" s="54"/>
      <c r="AO3" s="54"/>
      <c r="AP3" s="54"/>
      <c r="AQ3" s="55"/>
      <c r="AR3" s="54"/>
      <c r="AS3" s="54"/>
      <c r="AT3" s="54"/>
      <c r="AU3" s="54"/>
      <c r="AV3" s="54"/>
      <c r="AW3" s="54"/>
    </row>
    <row r="4" spans="1:53" s="6" customFormat="1" ht="21.75" customHeight="1" x14ac:dyDescent="0.25">
      <c r="B4" s="60" t="s">
        <v>156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2"/>
      <c r="AL4" s="61"/>
      <c r="AM4" s="61"/>
      <c r="AN4" s="61"/>
      <c r="AO4" s="61"/>
      <c r="AP4" s="61"/>
      <c r="AQ4" s="62"/>
      <c r="AR4" s="61"/>
      <c r="AS4" s="61"/>
      <c r="AT4" s="61"/>
      <c r="AU4" s="59"/>
      <c r="AV4" s="59"/>
      <c r="AW4" s="59"/>
    </row>
    <row r="5" spans="1:53" ht="17.25" customHeight="1" x14ac:dyDescent="0.25"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</row>
    <row r="6" spans="1:53" ht="25.5" customHeight="1" x14ac:dyDescent="0.25">
      <c r="B6" s="7" t="s">
        <v>166</v>
      </c>
      <c r="C6" s="2"/>
      <c r="D6" s="2"/>
      <c r="E6" s="2"/>
    </row>
    <row r="7" spans="1:53" s="57" customFormat="1" ht="31.5" customHeight="1" x14ac:dyDescent="0.25">
      <c r="A7" s="285" t="s">
        <v>42</v>
      </c>
      <c r="B7" s="286" t="s">
        <v>0</v>
      </c>
      <c r="C7" s="289" t="s">
        <v>1</v>
      </c>
      <c r="D7" s="289" t="s">
        <v>39</v>
      </c>
      <c r="E7" s="289" t="s">
        <v>3</v>
      </c>
      <c r="F7" s="66" t="s">
        <v>147</v>
      </c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8"/>
      <c r="AK7" s="66" t="s">
        <v>33</v>
      </c>
      <c r="AL7" s="67"/>
      <c r="AM7" s="67"/>
      <c r="AN7" s="67"/>
      <c r="AO7" s="67"/>
      <c r="AP7" s="67"/>
      <c r="AQ7" s="67"/>
      <c r="AR7" s="67"/>
      <c r="AS7" s="67"/>
      <c r="AT7" s="67"/>
      <c r="AU7" s="66" t="s">
        <v>34</v>
      </c>
      <c r="AV7" s="67"/>
      <c r="AW7" s="68"/>
      <c r="AX7" s="282" t="s">
        <v>40</v>
      </c>
      <c r="AY7" s="277" t="s">
        <v>41</v>
      </c>
      <c r="AZ7" s="278" t="s">
        <v>158</v>
      </c>
      <c r="BA7" s="279" t="s">
        <v>157</v>
      </c>
    </row>
    <row r="8" spans="1:53" s="6" customFormat="1" ht="20.25" customHeight="1" x14ac:dyDescent="0.25">
      <c r="A8" s="285"/>
      <c r="B8" s="287"/>
      <c r="C8" s="290"/>
      <c r="D8" s="290"/>
      <c r="E8" s="290"/>
      <c r="F8" s="3" t="str">
        <f>IF(WEEKDAY(F9,1)=1,"CN","T"&amp;WEEKDAY(F9,1))</f>
        <v>T3</v>
      </c>
      <c r="G8" s="3" t="str">
        <f>IF(WEEKDAY(G9,1)=1,"CN","T"&amp;WEEKDAY(G9,1))</f>
        <v>T4</v>
      </c>
      <c r="H8" s="3" t="str">
        <f t="shared" ref="H8:AJ8" si="0">IF(WEEKDAY(H9,1)=1,"CN","T"&amp;WEEKDAY(H9,1))</f>
        <v>T5</v>
      </c>
      <c r="I8" s="3" t="str">
        <f t="shared" si="0"/>
        <v>T6</v>
      </c>
      <c r="J8" s="3" t="str">
        <f t="shared" si="0"/>
        <v>T7</v>
      </c>
      <c r="K8" s="3" t="str">
        <f t="shared" si="0"/>
        <v>CN</v>
      </c>
      <c r="L8" s="3" t="str">
        <f t="shared" si="0"/>
        <v>T2</v>
      </c>
      <c r="M8" s="3" t="str">
        <f t="shared" si="0"/>
        <v>T3</v>
      </c>
      <c r="N8" s="3" t="str">
        <f t="shared" si="0"/>
        <v>T4</v>
      </c>
      <c r="O8" s="3" t="str">
        <f t="shared" si="0"/>
        <v>T5</v>
      </c>
      <c r="P8" s="3" t="str">
        <f t="shared" si="0"/>
        <v>T6</v>
      </c>
      <c r="Q8" s="3" t="str">
        <f t="shared" si="0"/>
        <v>T7</v>
      </c>
      <c r="R8" s="3" t="str">
        <f t="shared" si="0"/>
        <v>CN</v>
      </c>
      <c r="S8" s="3" t="str">
        <f t="shared" si="0"/>
        <v>T2</v>
      </c>
      <c r="T8" s="3" t="str">
        <f t="shared" si="0"/>
        <v>T3</v>
      </c>
      <c r="U8" s="3" t="str">
        <f t="shared" si="0"/>
        <v>T4</v>
      </c>
      <c r="V8" s="3" t="str">
        <f t="shared" si="0"/>
        <v>T5</v>
      </c>
      <c r="W8" s="3" t="str">
        <f t="shared" si="0"/>
        <v>T6</v>
      </c>
      <c r="X8" s="3" t="str">
        <f t="shared" si="0"/>
        <v>T7</v>
      </c>
      <c r="Y8" s="3" t="str">
        <f t="shared" si="0"/>
        <v>CN</v>
      </c>
      <c r="Z8" s="3" t="str">
        <f t="shared" si="0"/>
        <v>T2</v>
      </c>
      <c r="AA8" s="3" t="str">
        <f t="shared" si="0"/>
        <v>T3</v>
      </c>
      <c r="AB8" s="3" t="str">
        <f t="shared" si="0"/>
        <v>T4</v>
      </c>
      <c r="AC8" s="3" t="str">
        <f t="shared" si="0"/>
        <v>T5</v>
      </c>
      <c r="AD8" s="3" t="str">
        <f t="shared" si="0"/>
        <v>T6</v>
      </c>
      <c r="AE8" s="3" t="str">
        <f t="shared" si="0"/>
        <v>T7</v>
      </c>
      <c r="AF8" s="3" t="str">
        <f t="shared" si="0"/>
        <v>CN</v>
      </c>
      <c r="AG8" s="3" t="str">
        <f t="shared" si="0"/>
        <v>T2</v>
      </c>
      <c r="AH8" s="3" t="str">
        <f t="shared" si="0"/>
        <v>T3</v>
      </c>
      <c r="AI8" s="3" t="str">
        <f t="shared" si="0"/>
        <v>T4</v>
      </c>
      <c r="AJ8" s="3" t="str">
        <f t="shared" si="0"/>
        <v>T5</v>
      </c>
      <c r="AK8" s="280" t="s">
        <v>8</v>
      </c>
      <c r="AL8" s="280" t="s">
        <v>9</v>
      </c>
      <c r="AM8" s="280" t="s">
        <v>10</v>
      </c>
      <c r="AN8" s="280" t="s">
        <v>11</v>
      </c>
      <c r="AO8" s="280" t="s">
        <v>12</v>
      </c>
      <c r="AP8" s="280" t="s">
        <v>13</v>
      </c>
      <c r="AQ8" s="280" t="s">
        <v>14</v>
      </c>
      <c r="AR8" s="280" t="s">
        <v>15</v>
      </c>
      <c r="AS8" s="280" t="s">
        <v>16</v>
      </c>
      <c r="AT8" s="280" t="s">
        <v>17</v>
      </c>
      <c r="AU8" s="280" t="s">
        <v>30</v>
      </c>
      <c r="AV8" s="280" t="s">
        <v>31</v>
      </c>
      <c r="AW8" s="280" t="s">
        <v>32</v>
      </c>
      <c r="AX8" s="283"/>
      <c r="AY8" s="277"/>
      <c r="AZ8" s="278"/>
      <c r="BA8" s="279"/>
    </row>
    <row r="9" spans="1:53" s="6" customFormat="1" ht="18" customHeight="1" x14ac:dyDescent="0.25">
      <c r="A9" s="285"/>
      <c r="B9" s="288"/>
      <c r="C9" s="291"/>
      <c r="D9" s="291"/>
      <c r="E9" s="291"/>
      <c r="F9" s="12">
        <v>45839</v>
      </c>
      <c r="G9" s="12">
        <f>+F9+1</f>
        <v>45840</v>
      </c>
      <c r="H9" s="12">
        <f t="shared" ref="H9:AI9" si="1">+G9+1</f>
        <v>45841</v>
      </c>
      <c r="I9" s="12">
        <f t="shared" si="1"/>
        <v>45842</v>
      </c>
      <c r="J9" s="12">
        <f t="shared" si="1"/>
        <v>45843</v>
      </c>
      <c r="K9" s="12">
        <f t="shared" si="1"/>
        <v>45844</v>
      </c>
      <c r="L9" s="12">
        <f t="shared" si="1"/>
        <v>45845</v>
      </c>
      <c r="M9" s="12">
        <f t="shared" si="1"/>
        <v>45846</v>
      </c>
      <c r="N9" s="12">
        <f t="shared" si="1"/>
        <v>45847</v>
      </c>
      <c r="O9" s="12">
        <f t="shared" si="1"/>
        <v>45848</v>
      </c>
      <c r="P9" s="12">
        <f t="shared" si="1"/>
        <v>45849</v>
      </c>
      <c r="Q9" s="12">
        <f t="shared" si="1"/>
        <v>45850</v>
      </c>
      <c r="R9" s="12">
        <f t="shared" si="1"/>
        <v>45851</v>
      </c>
      <c r="S9" s="12">
        <f t="shared" si="1"/>
        <v>45852</v>
      </c>
      <c r="T9" s="12">
        <f t="shared" si="1"/>
        <v>45853</v>
      </c>
      <c r="U9" s="12">
        <f t="shared" si="1"/>
        <v>45854</v>
      </c>
      <c r="V9" s="12">
        <f t="shared" si="1"/>
        <v>45855</v>
      </c>
      <c r="W9" s="12">
        <f t="shared" si="1"/>
        <v>45856</v>
      </c>
      <c r="X9" s="12">
        <f t="shared" si="1"/>
        <v>45857</v>
      </c>
      <c r="Y9" s="12">
        <f t="shared" si="1"/>
        <v>45858</v>
      </c>
      <c r="Z9" s="12">
        <f t="shared" si="1"/>
        <v>45859</v>
      </c>
      <c r="AA9" s="12">
        <f t="shared" si="1"/>
        <v>45860</v>
      </c>
      <c r="AB9" s="12">
        <f t="shared" si="1"/>
        <v>45861</v>
      </c>
      <c r="AC9" s="12">
        <f t="shared" si="1"/>
        <v>45862</v>
      </c>
      <c r="AD9" s="12">
        <f t="shared" si="1"/>
        <v>45863</v>
      </c>
      <c r="AE9" s="12">
        <f t="shared" si="1"/>
        <v>45864</v>
      </c>
      <c r="AF9" s="12">
        <f t="shared" si="1"/>
        <v>45865</v>
      </c>
      <c r="AG9" s="12">
        <f t="shared" si="1"/>
        <v>45866</v>
      </c>
      <c r="AH9" s="12">
        <f t="shared" si="1"/>
        <v>45867</v>
      </c>
      <c r="AI9" s="12">
        <f t="shared" si="1"/>
        <v>45868</v>
      </c>
      <c r="AJ9" s="12">
        <f>+AI9+1</f>
        <v>45869</v>
      </c>
      <c r="AK9" s="280"/>
      <c r="AL9" s="281"/>
      <c r="AM9" s="281"/>
      <c r="AN9" s="281"/>
      <c r="AO9" s="281"/>
      <c r="AP9" s="281"/>
      <c r="AQ9" s="281"/>
      <c r="AR9" s="281"/>
      <c r="AS9" s="281"/>
      <c r="AT9" s="281"/>
      <c r="AU9" s="281"/>
      <c r="AV9" s="281"/>
      <c r="AW9" s="281"/>
      <c r="AX9" s="284"/>
      <c r="AY9" s="277"/>
      <c r="AZ9" s="278"/>
      <c r="BA9" s="279"/>
    </row>
    <row r="10" spans="1:53" s="6" customFormat="1" ht="28.5" customHeight="1" x14ac:dyDescent="0.25">
      <c r="A10" s="71">
        <f>COUNTA($A$7:A9)</f>
        <v>1</v>
      </c>
      <c r="B10" s="1" t="s">
        <v>28</v>
      </c>
      <c r="C10" s="8" t="s">
        <v>29</v>
      </c>
      <c r="D10" s="70" t="s">
        <v>146</v>
      </c>
      <c r="E10" s="70" t="s">
        <v>25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 t="s">
        <v>170</v>
      </c>
      <c r="AB10" s="9"/>
      <c r="AC10" s="9"/>
      <c r="AD10" s="9" t="s">
        <v>167</v>
      </c>
      <c r="AE10" s="9" t="s">
        <v>168</v>
      </c>
      <c r="AF10" s="9"/>
      <c r="AG10" s="9" t="s">
        <v>169</v>
      </c>
      <c r="AH10" s="9"/>
      <c r="AI10" s="9"/>
      <c r="AJ10" s="9"/>
      <c r="AK10" s="13">
        <f t="shared" ref="AK10:AK23" si="2">SUM(F10:AJ10)+(COUNTIF(F10:AJ10,"P?")+COUNTIF(F10:AJ10,"B?")+COUNTIF(F10:AJ10,"R?")+COUNTIF(F10:AJ10,"T7")+COUNTIF(F10:AJ10,"H2"))/2-(COUNTIF(F10:AJ10,"P7")+COUNTIF(F10:AJ10,"B7")+COUNTIF(F10:AJ10,"BP")+COUNTIF(F10:AJ10,"R7")+COUNTIF(F10:AJ10,"BL"))/2+(COUNTIF(F10:AJ10,"B1")/2)+COUNTIF(F10:AJ10,"DS")/2+COUNTIF(F10:AJ10,"DC")/2+(COUNTIF(F10:AJ10,"DT")*4)</f>
        <v>0</v>
      </c>
      <c r="AL10" s="14" cm="1">
        <f t="array" ref="AL10">COUNTIF(F10:AJ10,"P")
+(COUNTIF(F10:AJ10,"P?")+COUNTIF(F10:AJ10,"KL")+COUNTIF(F10:AJ10,"BP")+COUNTIF(F10:AJ10,"HP"))/2
+SUMPRODUCT(--(RIGHT(F10:AJ10,1)="P"),
IFERROR(VALUE(LEFT(F10:AJ10,LEN(F10:AJ10)-1))/510,0))</f>
        <v>0.23529411764705882</v>
      </c>
      <c r="AM10" s="14" cm="1">
        <f t="array" ref="AM10">COUNTIF(F10:AJ10,"B")
+((COUNTIF(F10:AJ10,"B?")+COUNTIF(F10:AJ10,"PB")+COUNTIF(F10:AJ10,"DB"))/2)
-COUNTIF(F10:AJ10,"B1")/2
+SUMPRODUCT(--(RIGHT(F10:AJ10,1)="B"),
IFERROR(VALUE(LEFT(F10:AJ10,LEN(F10:AJ10)-1))/510,0))</f>
        <v>0.19607843137254902</v>
      </c>
      <c r="AN10" s="14">
        <f t="shared" ref="AN10:AN23" si="3">+COUNTIF(F10:AJ10,"H")++COUNTIF(F10:AJ10,"TN")+(COUNTIF(F10:AJ10,"R")+(COUNTIF(F10:AJ10,"H?")+COUNTIF(F10:AJ10,"PH")+COUNTIF(F10:AJ10,"TN/2"))/2)+(COUNTIF(F10:AJ10,"R7")/2)+(COUNTIF(F10:AJ10,"RC")/2)+(COUNTIF(F10:AJ10,"RS")/2)</f>
        <v>0</v>
      </c>
      <c r="AO10" s="14">
        <f t="shared" ref="AO10:AO23" si="4">COUNTIF($G10:$AK10,"N")+(COUNTIF($G10:$AK10,"N7")/2)</f>
        <v>0</v>
      </c>
      <c r="AP10" s="14">
        <f t="shared" ref="AP10:AP23" si="5">COUNTIF(F10:AJ10,"D")+(COUNTIF(F10:AJ10,"D?")/2)</f>
        <v>0</v>
      </c>
      <c r="AQ10" s="13">
        <f t="shared" ref="AQ10:AQ24" si="6">SUM(AK10:AP10)</f>
        <v>0.43137254901960786</v>
      </c>
      <c r="AR10" s="14" cm="1">
        <f t="array" ref="AR10">COUNTIF(F10:AJ10,"K")
+(COUNTIF(F10:AJ10,"0.5")+COUNTIF(F10:AJ10,"KL")+COUNTIF(F10:AJ10,"BL")+COUNTIF(F10:AJ10,"K7")+COUNTIF(F10:AJ10,"HS")+COUNTIF(F10:AJ10,"HC")+COUNTIF(F10:AJ10,"DK"))/2
+COUNTIF(F10:AJ10,"KL/2")/2
+SUMPRODUCT(--(RIGHT(F10:AJ10,1)="K"),
IFERROR(VALUE(LEFT(F10:AJ10,LEN(F10:AJ10)-1))/510,0))</f>
        <v>2.3529411764705882E-2</v>
      </c>
      <c r="AS10" s="14">
        <f t="shared" ref="AS10:AS23" si="7">+COUNTIF(F10:AJ10,"O")+COUNTIF(F10:AJ10,"O7")/2</f>
        <v>0</v>
      </c>
      <c r="AT10" s="14">
        <f t="shared" ref="AT10:AT23" si="8">+COUNTIF(F10:AJ10,"S")+COUNTIF(F10:AJ10,"S7")/2</f>
        <v>0</v>
      </c>
      <c r="AU10" s="11"/>
      <c r="AV10" s="11"/>
      <c r="AW10" s="11"/>
      <c r="AX10" s="105"/>
      <c r="AY10" s="106"/>
      <c r="AZ10" s="6">
        <f>SUMIFS('LAM THEM ST'!$DG:$DG,'LAM THEM ST'!$B:$B,Cong_lam_them!$B10)</f>
        <v>0</v>
      </c>
    </row>
    <row r="11" spans="1:53" s="6" customFormat="1" ht="28.5" customHeight="1" x14ac:dyDescent="0.25">
      <c r="A11" s="71">
        <f>COUNTA($A$7:A10)</f>
        <v>2</v>
      </c>
      <c r="B11" s="104"/>
      <c r="C11" s="8"/>
      <c r="D11" s="70"/>
      <c r="E11" s="70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13">
        <f t="shared" si="2"/>
        <v>0</v>
      </c>
      <c r="AL11" s="14">
        <f t="shared" ref="AL11:AL23" si="9">COUNTIF(F11:AJ11,"P")+(COUNTIF(F11:AJ11,"P?")+COUNTIF(F11:AJ11,"KL")+COUNTIF(F11:AJ11,"BP")+COUNTIF(F11:AJ11,"HP"))/2</f>
        <v>0</v>
      </c>
      <c r="AM11" s="14">
        <f t="shared" ref="AM11:AM23" si="10">+COUNTIF(F11:AJ11,"B")+((COUNTIF(F11:AJ11,"B?")+COUNTIF(F11:AJ11,"PB")+COUNTIF(F11:AJ11,"DB"))/2)-COUNTIF(F11:AJ11,"B1")/2</f>
        <v>0</v>
      </c>
      <c r="AN11" s="14">
        <f t="shared" si="3"/>
        <v>0</v>
      </c>
      <c r="AO11" s="14">
        <f t="shared" si="4"/>
        <v>0</v>
      </c>
      <c r="AP11" s="14">
        <f t="shared" si="5"/>
        <v>0</v>
      </c>
      <c r="AQ11" s="13">
        <f t="shared" si="6"/>
        <v>0</v>
      </c>
      <c r="AR11" s="14">
        <f t="shared" ref="AR11:AR23" si="11">+COUNTIF(F11:AJ11,"K")+(COUNTIF(F11:AJ11,"0.5")+COUNTIF(F11:AJ11,"KL")+COUNTIF(F11:AJ11,"BL")+COUNTIF(F11:AJ11,"K7")+COUNTIF(F11:AJ11,"HS")+COUNTIF(F11:AJ11,"HC")+COUNTIF(F11:AJ11,"DK"))/2+COUNTIF(F11:AJ11,"KL/2")/2</f>
        <v>0</v>
      </c>
      <c r="AS11" s="14">
        <f t="shared" si="7"/>
        <v>0</v>
      </c>
      <c r="AT11" s="14">
        <f t="shared" si="8"/>
        <v>0</v>
      </c>
      <c r="AU11" s="5"/>
      <c r="AV11" s="11"/>
      <c r="AW11" s="5"/>
      <c r="AX11" s="105"/>
      <c r="AY11" s="106"/>
      <c r="AZ11" s="6">
        <f>SUMIFS('LAM THEM ST'!$DG:$DG,'LAM THEM ST'!$B:$B,Cong_lam_them!$B11)</f>
        <v>0</v>
      </c>
    </row>
    <row r="12" spans="1:53" s="6" customFormat="1" ht="28.5" customHeight="1" x14ac:dyDescent="0.25">
      <c r="A12" s="71">
        <f>COUNTA($A$7:A11)</f>
        <v>3</v>
      </c>
      <c r="B12" s="245"/>
      <c r="C12" s="8"/>
      <c r="D12" s="70"/>
      <c r="E12" s="70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13">
        <f t="shared" si="2"/>
        <v>0</v>
      </c>
      <c r="AL12" s="14">
        <f t="shared" si="9"/>
        <v>0</v>
      </c>
      <c r="AM12" s="14">
        <f t="shared" si="10"/>
        <v>0</v>
      </c>
      <c r="AN12" s="14">
        <f t="shared" si="3"/>
        <v>0</v>
      </c>
      <c r="AO12" s="14">
        <f t="shared" si="4"/>
        <v>0</v>
      </c>
      <c r="AP12" s="14">
        <f t="shared" si="5"/>
        <v>0</v>
      </c>
      <c r="AQ12" s="13">
        <f t="shared" si="6"/>
        <v>0</v>
      </c>
      <c r="AR12" s="14">
        <f t="shared" si="11"/>
        <v>0</v>
      </c>
      <c r="AS12" s="14">
        <f t="shared" si="7"/>
        <v>0</v>
      </c>
      <c r="AT12" s="14">
        <f t="shared" si="8"/>
        <v>0</v>
      </c>
      <c r="AU12" s="5"/>
      <c r="AV12" s="11"/>
      <c r="AW12" s="5"/>
      <c r="AX12" s="105"/>
      <c r="AY12" s="106"/>
      <c r="AZ12" s="6">
        <f>SUMIFS('LAM THEM ST'!$DG:$DG,'LAM THEM ST'!$B:$B,Cong_lam_them!$B12)</f>
        <v>0</v>
      </c>
    </row>
    <row r="13" spans="1:53" s="6" customFormat="1" ht="28.5" customHeight="1" x14ac:dyDescent="0.25">
      <c r="A13" s="71">
        <f>COUNTA($A$7:A12)</f>
        <v>4</v>
      </c>
      <c r="B13" s="69"/>
      <c r="C13" s="8"/>
      <c r="D13" s="70"/>
      <c r="E13" s="70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13">
        <f t="shared" si="2"/>
        <v>0</v>
      </c>
      <c r="AL13" s="14">
        <f t="shared" si="9"/>
        <v>0</v>
      </c>
      <c r="AM13" s="14">
        <f t="shared" si="10"/>
        <v>0</v>
      </c>
      <c r="AN13" s="14">
        <f t="shared" si="3"/>
        <v>0</v>
      </c>
      <c r="AO13" s="14">
        <f t="shared" si="4"/>
        <v>0</v>
      </c>
      <c r="AP13" s="14">
        <f t="shared" si="5"/>
        <v>0</v>
      </c>
      <c r="AQ13" s="13">
        <f t="shared" si="6"/>
        <v>0</v>
      </c>
      <c r="AR13" s="14">
        <f t="shared" si="11"/>
        <v>0</v>
      </c>
      <c r="AS13" s="14">
        <f t="shared" si="7"/>
        <v>0</v>
      </c>
      <c r="AT13" s="14">
        <f t="shared" si="8"/>
        <v>0</v>
      </c>
      <c r="AU13" s="5"/>
      <c r="AV13" s="11"/>
      <c r="AW13" s="5"/>
      <c r="AX13" s="105"/>
      <c r="AY13" s="106"/>
      <c r="AZ13" s="6">
        <f>SUMIFS('LAM THEM ST'!$DG:$DG,'LAM THEM ST'!$B:$B,Cong_lam_them!$B13)</f>
        <v>0</v>
      </c>
    </row>
    <row r="14" spans="1:53" s="6" customFormat="1" ht="28.5" customHeight="1" x14ac:dyDescent="0.25">
      <c r="A14" s="71">
        <f>COUNTA($A$7:A13)</f>
        <v>5</v>
      </c>
      <c r="B14" s="69"/>
      <c r="C14" s="8"/>
      <c r="D14" s="70"/>
      <c r="E14" s="70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13">
        <f t="shared" si="2"/>
        <v>0</v>
      </c>
      <c r="AL14" s="14">
        <f t="shared" si="9"/>
        <v>0</v>
      </c>
      <c r="AM14" s="14">
        <f t="shared" si="10"/>
        <v>0</v>
      </c>
      <c r="AN14" s="14">
        <f t="shared" si="3"/>
        <v>0</v>
      </c>
      <c r="AO14" s="14">
        <f t="shared" si="4"/>
        <v>0</v>
      </c>
      <c r="AP14" s="14">
        <f t="shared" si="5"/>
        <v>0</v>
      </c>
      <c r="AQ14" s="13">
        <f t="shared" si="6"/>
        <v>0</v>
      </c>
      <c r="AR14" s="14">
        <f t="shared" si="11"/>
        <v>0</v>
      </c>
      <c r="AS14" s="14">
        <f t="shared" si="7"/>
        <v>0</v>
      </c>
      <c r="AT14" s="14">
        <f t="shared" si="8"/>
        <v>0</v>
      </c>
      <c r="AU14" s="5"/>
      <c r="AV14" s="11"/>
      <c r="AW14" s="5"/>
      <c r="AX14" s="105"/>
      <c r="AY14" s="106"/>
      <c r="AZ14" s="6">
        <f>SUMIFS('LAM THEM ST'!$DG:$DG,'LAM THEM ST'!$B:$B,Cong_lam_them!$B14)</f>
        <v>0</v>
      </c>
    </row>
    <row r="15" spans="1:53" s="6" customFormat="1" ht="28.5" customHeight="1" x14ac:dyDescent="0.25">
      <c r="A15" s="71">
        <f>COUNTA($A$7:A14)</f>
        <v>6</v>
      </c>
      <c r="B15" s="69"/>
      <c r="C15" s="8"/>
      <c r="D15" s="70"/>
      <c r="E15" s="70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13">
        <f t="shared" si="2"/>
        <v>0</v>
      </c>
      <c r="AL15" s="14">
        <f t="shared" si="9"/>
        <v>0</v>
      </c>
      <c r="AM15" s="14">
        <f t="shared" si="10"/>
        <v>0</v>
      </c>
      <c r="AN15" s="14">
        <f t="shared" si="3"/>
        <v>0</v>
      </c>
      <c r="AO15" s="14">
        <f t="shared" si="4"/>
        <v>0</v>
      </c>
      <c r="AP15" s="14">
        <f t="shared" si="5"/>
        <v>0</v>
      </c>
      <c r="AQ15" s="13">
        <f t="shared" si="6"/>
        <v>0</v>
      </c>
      <c r="AR15" s="14">
        <f t="shared" si="11"/>
        <v>0</v>
      </c>
      <c r="AS15" s="14">
        <f t="shared" si="7"/>
        <v>0</v>
      </c>
      <c r="AT15" s="14">
        <f t="shared" si="8"/>
        <v>0</v>
      </c>
      <c r="AU15" s="5"/>
      <c r="AV15" s="11"/>
      <c r="AW15" s="5"/>
      <c r="AX15" s="105"/>
      <c r="AY15" s="106"/>
      <c r="AZ15" s="6">
        <f>SUMIFS('LAM THEM ST'!$DG:$DG,'LAM THEM ST'!$B:$B,Cong_lam_them!$B15)</f>
        <v>0</v>
      </c>
    </row>
    <row r="16" spans="1:53" s="6" customFormat="1" ht="28.5" customHeight="1" x14ac:dyDescent="0.25">
      <c r="A16" s="71">
        <f>COUNTA($A$7:A15)</f>
        <v>7</v>
      </c>
      <c r="B16" s="69"/>
      <c r="C16" s="8"/>
      <c r="D16" s="70"/>
      <c r="E16" s="70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13">
        <f t="shared" si="2"/>
        <v>0</v>
      </c>
      <c r="AL16" s="14">
        <f t="shared" si="9"/>
        <v>0</v>
      </c>
      <c r="AM16" s="14">
        <f t="shared" si="10"/>
        <v>0</v>
      </c>
      <c r="AN16" s="14">
        <f t="shared" si="3"/>
        <v>0</v>
      </c>
      <c r="AO16" s="14">
        <f t="shared" si="4"/>
        <v>0</v>
      </c>
      <c r="AP16" s="14">
        <f t="shared" si="5"/>
        <v>0</v>
      </c>
      <c r="AQ16" s="13">
        <f t="shared" si="6"/>
        <v>0</v>
      </c>
      <c r="AR16" s="14">
        <f t="shared" si="11"/>
        <v>0</v>
      </c>
      <c r="AS16" s="14">
        <f t="shared" si="7"/>
        <v>0</v>
      </c>
      <c r="AT16" s="14">
        <f t="shared" si="8"/>
        <v>0</v>
      </c>
      <c r="AU16" s="5"/>
      <c r="AV16" s="11"/>
      <c r="AW16" s="5"/>
      <c r="AX16" s="105"/>
      <c r="AY16" s="106"/>
      <c r="AZ16" s="6">
        <f>SUMIFS('LAM THEM ST'!$DG:$DG,'LAM THEM ST'!$B:$B,Cong_lam_them!$B16)</f>
        <v>0</v>
      </c>
    </row>
    <row r="17" spans="1:53" s="6" customFormat="1" ht="28.5" customHeight="1" x14ac:dyDescent="0.25">
      <c r="A17" s="71">
        <f>COUNTA($A$7:A16)</f>
        <v>8</v>
      </c>
      <c r="B17" s="69"/>
      <c r="C17" s="8"/>
      <c r="D17" s="70"/>
      <c r="E17" s="70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13">
        <f t="shared" si="2"/>
        <v>0</v>
      </c>
      <c r="AL17" s="14">
        <f t="shared" si="9"/>
        <v>0</v>
      </c>
      <c r="AM17" s="14">
        <f t="shared" si="10"/>
        <v>0</v>
      </c>
      <c r="AN17" s="14">
        <f t="shared" si="3"/>
        <v>0</v>
      </c>
      <c r="AO17" s="14">
        <f t="shared" si="4"/>
        <v>0</v>
      </c>
      <c r="AP17" s="14">
        <f t="shared" si="5"/>
        <v>0</v>
      </c>
      <c r="AQ17" s="13">
        <f t="shared" si="6"/>
        <v>0</v>
      </c>
      <c r="AR17" s="14">
        <f t="shared" si="11"/>
        <v>0</v>
      </c>
      <c r="AS17" s="14">
        <f t="shared" si="7"/>
        <v>0</v>
      </c>
      <c r="AT17" s="14">
        <f t="shared" si="8"/>
        <v>0</v>
      </c>
      <c r="AU17" s="5"/>
      <c r="AV17" s="11"/>
      <c r="AW17" s="5"/>
      <c r="AX17" s="105"/>
      <c r="AY17" s="106"/>
      <c r="AZ17" s="6">
        <f>SUMIFS('LAM THEM ST'!$DG:$DG,'LAM THEM ST'!$B:$B,Cong_lam_them!$B17)</f>
        <v>0</v>
      </c>
    </row>
    <row r="18" spans="1:53" s="6" customFormat="1" ht="28.5" customHeight="1" x14ac:dyDescent="0.25">
      <c r="A18" s="71">
        <f>COUNTA($A$7:A17)</f>
        <v>9</v>
      </c>
      <c r="B18" s="69"/>
      <c r="C18" s="8"/>
      <c r="D18" s="70"/>
      <c r="E18" s="70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13">
        <f t="shared" si="2"/>
        <v>0</v>
      </c>
      <c r="AL18" s="14">
        <f t="shared" si="9"/>
        <v>0</v>
      </c>
      <c r="AM18" s="14">
        <f t="shared" si="10"/>
        <v>0</v>
      </c>
      <c r="AN18" s="14">
        <f t="shared" si="3"/>
        <v>0</v>
      </c>
      <c r="AO18" s="14">
        <f t="shared" si="4"/>
        <v>0</v>
      </c>
      <c r="AP18" s="14">
        <f t="shared" si="5"/>
        <v>0</v>
      </c>
      <c r="AQ18" s="13">
        <f t="shared" si="6"/>
        <v>0</v>
      </c>
      <c r="AR18" s="14">
        <f t="shared" si="11"/>
        <v>0</v>
      </c>
      <c r="AS18" s="14">
        <f t="shared" si="7"/>
        <v>0</v>
      </c>
      <c r="AT18" s="14">
        <f t="shared" si="8"/>
        <v>0</v>
      </c>
      <c r="AU18" s="5"/>
      <c r="AV18" s="11"/>
      <c r="AW18" s="5"/>
      <c r="AX18" s="105"/>
      <c r="AY18" s="106"/>
      <c r="AZ18" s="6">
        <f>SUMIFS('LAM THEM ST'!$DG:$DG,'LAM THEM ST'!$B:$B,Cong_lam_them!$B18)</f>
        <v>0</v>
      </c>
    </row>
    <row r="19" spans="1:53" s="6" customFormat="1" ht="28.5" customHeight="1" x14ac:dyDescent="0.25">
      <c r="A19" s="71">
        <f>COUNTA($A$7:A18)</f>
        <v>10</v>
      </c>
      <c r="B19" s="69"/>
      <c r="C19" s="8"/>
      <c r="D19" s="70"/>
      <c r="E19" s="70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13">
        <f t="shared" si="2"/>
        <v>0</v>
      </c>
      <c r="AL19" s="14">
        <f t="shared" si="9"/>
        <v>0</v>
      </c>
      <c r="AM19" s="14">
        <f t="shared" si="10"/>
        <v>0</v>
      </c>
      <c r="AN19" s="14">
        <f t="shared" si="3"/>
        <v>0</v>
      </c>
      <c r="AO19" s="14">
        <f t="shared" si="4"/>
        <v>0</v>
      </c>
      <c r="AP19" s="14">
        <f t="shared" si="5"/>
        <v>0</v>
      </c>
      <c r="AQ19" s="13">
        <f t="shared" si="6"/>
        <v>0</v>
      </c>
      <c r="AR19" s="14">
        <f t="shared" si="11"/>
        <v>0</v>
      </c>
      <c r="AS19" s="14">
        <f t="shared" si="7"/>
        <v>0</v>
      </c>
      <c r="AT19" s="14">
        <f t="shared" si="8"/>
        <v>0</v>
      </c>
      <c r="AU19" s="5"/>
      <c r="AV19" s="11"/>
      <c r="AW19" s="5"/>
      <c r="AX19" s="105"/>
      <c r="AY19" s="106"/>
      <c r="AZ19" s="6">
        <f>SUMIFS('LAM THEM ST'!$DG:$DG,'LAM THEM ST'!$B:$B,Cong_lam_them!$B19)</f>
        <v>0</v>
      </c>
    </row>
    <row r="20" spans="1:53" s="6" customFormat="1" ht="28.5" customHeight="1" x14ac:dyDescent="0.25">
      <c r="A20" s="71">
        <f>COUNTA($A$7:A19)</f>
        <v>11</v>
      </c>
      <c r="B20" s="69"/>
      <c r="C20" s="8"/>
      <c r="D20" s="70"/>
      <c r="E20" s="70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13">
        <f t="shared" si="2"/>
        <v>0</v>
      </c>
      <c r="AL20" s="14">
        <f t="shared" si="9"/>
        <v>0</v>
      </c>
      <c r="AM20" s="14">
        <f t="shared" si="10"/>
        <v>0</v>
      </c>
      <c r="AN20" s="14">
        <f t="shared" si="3"/>
        <v>0</v>
      </c>
      <c r="AO20" s="14">
        <f t="shared" si="4"/>
        <v>0</v>
      </c>
      <c r="AP20" s="14">
        <f t="shared" si="5"/>
        <v>0</v>
      </c>
      <c r="AQ20" s="13">
        <f t="shared" si="6"/>
        <v>0</v>
      </c>
      <c r="AR20" s="14">
        <f t="shared" si="11"/>
        <v>0</v>
      </c>
      <c r="AS20" s="14">
        <f t="shared" si="7"/>
        <v>0</v>
      </c>
      <c r="AT20" s="14">
        <f t="shared" si="8"/>
        <v>0</v>
      </c>
      <c r="AU20" s="5"/>
      <c r="AV20" s="11"/>
      <c r="AW20" s="5"/>
      <c r="AX20" s="105"/>
      <c r="AY20" s="106"/>
      <c r="AZ20" s="6">
        <f>SUMIFS('LAM THEM ST'!$DG:$DG,'LAM THEM ST'!$B:$B,Cong_lam_them!$B20)</f>
        <v>0</v>
      </c>
    </row>
    <row r="21" spans="1:53" s="6" customFormat="1" ht="28.5" customHeight="1" x14ac:dyDescent="0.25">
      <c r="A21" s="71">
        <f>COUNTA($A$7:A20)</f>
        <v>12</v>
      </c>
      <c r="B21" s="69"/>
      <c r="C21" s="8"/>
      <c r="D21" s="70"/>
      <c r="E21" s="70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13">
        <f t="shared" si="2"/>
        <v>0</v>
      </c>
      <c r="AL21" s="14">
        <f t="shared" si="9"/>
        <v>0</v>
      </c>
      <c r="AM21" s="14">
        <f t="shared" si="10"/>
        <v>0</v>
      </c>
      <c r="AN21" s="14">
        <f t="shared" si="3"/>
        <v>0</v>
      </c>
      <c r="AO21" s="14">
        <f t="shared" si="4"/>
        <v>0</v>
      </c>
      <c r="AP21" s="14">
        <f t="shared" si="5"/>
        <v>0</v>
      </c>
      <c r="AQ21" s="13">
        <f t="shared" si="6"/>
        <v>0</v>
      </c>
      <c r="AR21" s="14">
        <f t="shared" si="11"/>
        <v>0</v>
      </c>
      <c r="AS21" s="14">
        <f t="shared" si="7"/>
        <v>0</v>
      </c>
      <c r="AT21" s="14">
        <f t="shared" si="8"/>
        <v>0</v>
      </c>
      <c r="AU21" s="5"/>
      <c r="AV21" s="11"/>
      <c r="AW21" s="5"/>
      <c r="AX21" s="105"/>
      <c r="AY21" s="106"/>
      <c r="AZ21" s="6">
        <f>SUMIFS('LAM THEM ST'!$DG:$DG,'LAM THEM ST'!$B:$B,Cong_lam_them!$B21)</f>
        <v>0</v>
      </c>
    </row>
    <row r="22" spans="1:53" s="6" customFormat="1" ht="28.5" customHeight="1" x14ac:dyDescent="0.25">
      <c r="A22" s="71">
        <f>COUNTA($A$7:A21)</f>
        <v>13</v>
      </c>
      <c r="B22" s="69"/>
      <c r="C22" s="8"/>
      <c r="D22" s="70"/>
      <c r="E22" s="70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13">
        <f t="shared" si="2"/>
        <v>0</v>
      </c>
      <c r="AL22" s="14">
        <f t="shared" si="9"/>
        <v>0</v>
      </c>
      <c r="AM22" s="14">
        <f t="shared" si="10"/>
        <v>0</v>
      </c>
      <c r="AN22" s="14">
        <f t="shared" si="3"/>
        <v>0</v>
      </c>
      <c r="AO22" s="14">
        <f t="shared" si="4"/>
        <v>0</v>
      </c>
      <c r="AP22" s="14">
        <f t="shared" si="5"/>
        <v>0</v>
      </c>
      <c r="AQ22" s="13">
        <f t="shared" si="6"/>
        <v>0</v>
      </c>
      <c r="AR22" s="14">
        <f t="shared" si="11"/>
        <v>0</v>
      </c>
      <c r="AS22" s="14">
        <f t="shared" si="7"/>
        <v>0</v>
      </c>
      <c r="AT22" s="14">
        <f t="shared" si="8"/>
        <v>0</v>
      </c>
      <c r="AU22" s="5"/>
      <c r="AV22" s="11"/>
      <c r="AW22" s="5"/>
      <c r="AX22" s="105"/>
      <c r="AY22" s="106"/>
      <c r="AZ22" s="6">
        <f>SUMIFS('LAM THEM ST'!$DG:$DG,'LAM THEM ST'!$B:$B,Cong_lam_them!$B22)</f>
        <v>0</v>
      </c>
    </row>
    <row r="23" spans="1:53" s="6" customFormat="1" ht="28.5" customHeight="1" x14ac:dyDescent="0.25">
      <c r="A23" s="71">
        <f>COUNTA($A$7:A22)</f>
        <v>14</v>
      </c>
      <c r="B23" s="69"/>
      <c r="C23" s="8"/>
      <c r="D23" s="70"/>
      <c r="E23" s="70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13">
        <f t="shared" si="2"/>
        <v>0</v>
      </c>
      <c r="AL23" s="14">
        <f t="shared" si="9"/>
        <v>0</v>
      </c>
      <c r="AM23" s="14">
        <f t="shared" si="10"/>
        <v>0</v>
      </c>
      <c r="AN23" s="14">
        <f t="shared" si="3"/>
        <v>0</v>
      </c>
      <c r="AO23" s="14">
        <f t="shared" si="4"/>
        <v>0</v>
      </c>
      <c r="AP23" s="14">
        <f t="shared" si="5"/>
        <v>0</v>
      </c>
      <c r="AQ23" s="13">
        <f t="shared" si="6"/>
        <v>0</v>
      </c>
      <c r="AR23" s="14">
        <f t="shared" si="11"/>
        <v>0</v>
      </c>
      <c r="AS23" s="14">
        <f t="shared" si="7"/>
        <v>0</v>
      </c>
      <c r="AT23" s="14">
        <f t="shared" si="8"/>
        <v>0</v>
      </c>
      <c r="AU23" s="5"/>
      <c r="AV23" s="11"/>
      <c r="AW23" s="5"/>
      <c r="AX23" s="105"/>
      <c r="AY23" s="106"/>
      <c r="AZ23" s="6">
        <f>SUMIFS('LAM THEM ST'!$DG:$DG,'LAM THEM ST'!$B:$B,Cong_lam_them!$B23)</f>
        <v>0</v>
      </c>
    </row>
    <row r="24" spans="1:53" s="57" customFormat="1" ht="28.5" customHeight="1" x14ac:dyDescent="0.25">
      <c r="A24" s="247">
        <f>COUNTA($A$7:A23)</f>
        <v>15</v>
      </c>
      <c r="B24" s="246" t="s">
        <v>110</v>
      </c>
      <c r="C24" s="63" t="str">
        <f>IFERROR(VLOOKUP(B24,#REF!,2,0),"")</f>
        <v/>
      </c>
      <c r="D24" s="248" t="s">
        <v>146</v>
      </c>
      <c r="E24" s="248" t="s">
        <v>25</v>
      </c>
      <c r="F24" s="64" t="str">
        <f>+IFERROR(IFERROR(IF(VLOOKUP(Cong_lam_them!$B24&amp;Cong_lam_them!F$9,#REF!,17,0)&lt;&gt;0,VLOOKUP(Cong_lam_them!$B24&amp;Cong_lam_them!F$9,#REF!,17,0),INDEX(#REF!,MATCH(Cong_lam_them!$B24,#REF!,0),MATCH(Cong_lam_them!F$9,#REF!,0))),INDEX(#REF!,MATCH(Cong_lam_them!$B24,#REF!,0),MATCH(Cong_lam_them!F$9,#REF!,0))),"")</f>
        <v/>
      </c>
      <c r="G24" s="64" t="str">
        <f>+IFERROR(IFERROR(IF(VLOOKUP(Cong_lam_them!$B24&amp;Cong_lam_them!G$9,#REF!,17,0)&lt;&gt;0,VLOOKUP(Cong_lam_them!$B24&amp;Cong_lam_them!G$9,#REF!,17,0),INDEX(#REF!,MATCH(Cong_lam_them!$B24,#REF!,0),MATCH(Cong_lam_them!G$9,#REF!,0))),INDEX(#REF!,MATCH(Cong_lam_them!$B24,#REF!,0),MATCH(Cong_lam_them!G$9,#REF!,0))),"")</f>
        <v/>
      </c>
      <c r="H24" s="64" t="str">
        <f>+IFERROR(IFERROR(IF(VLOOKUP(Cong_lam_them!$B24&amp;Cong_lam_them!H$9,#REF!,17,0)&lt;&gt;0,VLOOKUP(Cong_lam_them!$B24&amp;Cong_lam_them!H$9,#REF!,17,0),INDEX(#REF!,MATCH(Cong_lam_them!$B24,#REF!,0),MATCH(Cong_lam_them!H$9,#REF!,0))),INDEX(#REF!,MATCH(Cong_lam_them!$B24,#REF!,0),MATCH(Cong_lam_them!H$9,#REF!,0))),"")</f>
        <v/>
      </c>
      <c r="I24" s="64" t="str">
        <f>+IFERROR(IFERROR(IF(VLOOKUP(Cong_lam_them!$B24&amp;Cong_lam_them!I$9,#REF!,17,0)&lt;&gt;0,VLOOKUP(Cong_lam_them!$B24&amp;Cong_lam_them!I$9,#REF!,17,0),INDEX(#REF!,MATCH(Cong_lam_them!$B24,#REF!,0),MATCH(Cong_lam_them!I$9,#REF!,0))),INDEX(#REF!,MATCH(Cong_lam_them!$B24,#REF!,0),MATCH(Cong_lam_them!I$9,#REF!,0))),"")</f>
        <v/>
      </c>
      <c r="J24" s="64" t="str">
        <f>+IFERROR(IFERROR(IF(VLOOKUP(Cong_lam_them!$B24&amp;Cong_lam_them!J$9,#REF!,17,0)&lt;&gt;0,VLOOKUP(Cong_lam_them!$B24&amp;Cong_lam_them!J$9,#REF!,17,0),INDEX(#REF!,MATCH(Cong_lam_them!$B24,#REF!,0),MATCH(Cong_lam_them!J$9,#REF!,0))),INDEX(#REF!,MATCH(Cong_lam_them!$B24,#REF!,0),MATCH(Cong_lam_them!J$9,#REF!,0))),"")</f>
        <v/>
      </c>
      <c r="K24" s="64" t="str">
        <f>+IFERROR(IFERROR(IF(VLOOKUP(Cong_lam_them!$B24&amp;Cong_lam_them!K$9,#REF!,17,0)&lt;&gt;0,VLOOKUP(Cong_lam_them!$B24&amp;Cong_lam_them!K$9,#REF!,17,0),INDEX(#REF!,MATCH(Cong_lam_them!$B24,#REF!,0),MATCH(Cong_lam_them!K$9,#REF!,0))),INDEX(#REF!,MATCH(Cong_lam_them!$B24,#REF!,0),MATCH(Cong_lam_them!K$9,#REF!,0))),"")</f>
        <v/>
      </c>
      <c r="L24" s="64" t="str">
        <f>+IFERROR(IFERROR(IF(VLOOKUP(Cong_lam_them!$B24&amp;Cong_lam_them!L$9,#REF!,17,0)&lt;&gt;0,VLOOKUP(Cong_lam_them!$B24&amp;Cong_lam_them!L$9,#REF!,17,0),INDEX(#REF!,MATCH(Cong_lam_them!$B24,#REF!,0),MATCH(Cong_lam_them!L$9,#REF!,0))),INDEX(#REF!,MATCH(Cong_lam_them!$B24,#REF!,0),MATCH(Cong_lam_them!L$9,#REF!,0))),"")</f>
        <v/>
      </c>
      <c r="M24" s="64" t="str">
        <f>+IFERROR(IFERROR(IF(VLOOKUP(Cong_lam_them!$B24&amp;Cong_lam_them!M$9,#REF!,17,0)&lt;&gt;0,VLOOKUP(Cong_lam_them!$B24&amp;Cong_lam_them!M$9,#REF!,17,0),INDEX(#REF!,MATCH(Cong_lam_them!$B24,#REF!,0),MATCH(Cong_lam_them!M$9,#REF!,0))),INDEX(#REF!,MATCH(Cong_lam_them!$B24,#REF!,0),MATCH(Cong_lam_them!M$9,#REF!,0))),"")</f>
        <v/>
      </c>
      <c r="N24" s="64" t="str">
        <f>+IFERROR(IFERROR(IF(VLOOKUP(Cong_lam_them!$B24&amp;Cong_lam_them!N$9,#REF!,17,0)&lt;&gt;0,VLOOKUP(Cong_lam_them!$B24&amp;Cong_lam_them!N$9,#REF!,17,0),INDEX(#REF!,MATCH(Cong_lam_them!$B24,#REF!,0),MATCH(Cong_lam_them!N$9,#REF!,0))),INDEX(#REF!,MATCH(Cong_lam_them!$B24,#REF!,0),MATCH(Cong_lam_them!N$9,#REF!,0))),"")</f>
        <v/>
      </c>
      <c r="O24" s="64" t="str">
        <f>+IFERROR(IFERROR(IF(VLOOKUP(Cong_lam_them!$B24&amp;Cong_lam_them!O$9,#REF!,17,0)&lt;&gt;0,VLOOKUP(Cong_lam_them!$B24&amp;Cong_lam_them!O$9,#REF!,17,0),INDEX(#REF!,MATCH(Cong_lam_them!$B24,#REF!,0),MATCH(Cong_lam_them!O$9,#REF!,0))),INDEX(#REF!,MATCH(Cong_lam_them!$B24,#REF!,0),MATCH(Cong_lam_them!O$9,#REF!,0))),"")</f>
        <v/>
      </c>
      <c r="P24" s="64" t="str">
        <f>+IFERROR(IFERROR(IF(VLOOKUP(Cong_lam_them!$B24&amp;Cong_lam_them!P$9,#REF!,17,0)&lt;&gt;0,VLOOKUP(Cong_lam_them!$B24&amp;Cong_lam_them!P$9,#REF!,17,0),INDEX(#REF!,MATCH(Cong_lam_them!$B24,#REF!,0),MATCH(Cong_lam_them!P$9,#REF!,0))),INDEX(#REF!,MATCH(Cong_lam_them!$B24,#REF!,0),MATCH(Cong_lam_them!P$9,#REF!,0))),"")</f>
        <v/>
      </c>
      <c r="Q24" s="64" t="str">
        <f>+IFERROR(IFERROR(IF(VLOOKUP(Cong_lam_them!$B24&amp;Cong_lam_them!Q$9,#REF!,17,0)&lt;&gt;0,VLOOKUP(Cong_lam_them!$B24&amp;Cong_lam_them!Q$9,#REF!,17,0),INDEX(#REF!,MATCH(Cong_lam_them!$B24,#REF!,0),MATCH(Cong_lam_them!Q$9,#REF!,0))),INDEX(#REF!,MATCH(Cong_lam_them!$B24,#REF!,0),MATCH(Cong_lam_them!Q$9,#REF!,0))),"")</f>
        <v/>
      </c>
      <c r="R24" s="64" t="str">
        <f>+IFERROR(IFERROR(IF(VLOOKUP(Cong_lam_them!$B24&amp;Cong_lam_them!R$9,#REF!,17,0)&lt;&gt;0,VLOOKUP(Cong_lam_them!$B24&amp;Cong_lam_them!R$9,#REF!,17,0),INDEX(#REF!,MATCH(Cong_lam_them!$B24,#REF!,0),MATCH(Cong_lam_them!R$9,#REF!,0))),INDEX(#REF!,MATCH(Cong_lam_them!$B24,#REF!,0),MATCH(Cong_lam_them!R$9,#REF!,0))),"")</f>
        <v/>
      </c>
      <c r="S24" s="64" t="str">
        <f>+IFERROR(IFERROR(IF(VLOOKUP(Cong_lam_them!$B24&amp;Cong_lam_them!S$9,#REF!,17,0)&lt;&gt;0,VLOOKUP(Cong_lam_them!$B24&amp;Cong_lam_them!S$9,#REF!,17,0),INDEX(#REF!,MATCH(Cong_lam_them!$B24,#REF!,0),MATCH(Cong_lam_them!S$9,#REF!,0))),INDEX(#REF!,MATCH(Cong_lam_them!$B24,#REF!,0),MATCH(Cong_lam_them!S$9,#REF!,0))),"")</f>
        <v/>
      </c>
      <c r="T24" s="64" t="str">
        <f>+IFERROR(IFERROR(IF(VLOOKUP(Cong_lam_them!$B24&amp;Cong_lam_them!T$9,#REF!,17,0)&lt;&gt;0,VLOOKUP(Cong_lam_them!$B24&amp;Cong_lam_them!T$9,#REF!,17,0),INDEX(#REF!,MATCH(Cong_lam_them!$B24,#REF!,0),MATCH(Cong_lam_them!T$9,#REF!,0))),INDEX(#REF!,MATCH(Cong_lam_them!$B24,#REF!,0),MATCH(Cong_lam_them!T$9,#REF!,0))),"")</f>
        <v/>
      </c>
      <c r="U24" s="64" t="str">
        <f>+IFERROR(IFERROR(IF(VLOOKUP(Cong_lam_them!$B24&amp;Cong_lam_them!U$9,#REF!,17,0)&lt;&gt;0,VLOOKUP(Cong_lam_them!$B24&amp;Cong_lam_them!U$9,#REF!,17,0),INDEX(#REF!,MATCH(Cong_lam_them!$B24,#REF!,0),MATCH(Cong_lam_them!U$9,#REF!,0))),INDEX(#REF!,MATCH(Cong_lam_them!$B24,#REF!,0),MATCH(Cong_lam_them!U$9,#REF!,0))),"")</f>
        <v/>
      </c>
      <c r="V24" s="64" t="str">
        <f>+IFERROR(IFERROR(IF(VLOOKUP(Cong_lam_them!$B24&amp;Cong_lam_them!V$9,#REF!,17,0)&lt;&gt;0,VLOOKUP(Cong_lam_them!$B24&amp;Cong_lam_them!V$9,#REF!,17,0),INDEX(#REF!,MATCH(Cong_lam_them!$B24,#REF!,0),MATCH(Cong_lam_them!V$9,#REF!,0))),INDEX(#REF!,MATCH(Cong_lam_them!$B24,#REF!,0),MATCH(Cong_lam_them!V$9,#REF!,0))),"")</f>
        <v/>
      </c>
      <c r="W24" s="64" t="str">
        <f>+IFERROR(IFERROR(IF(VLOOKUP(Cong_lam_them!$B24&amp;Cong_lam_them!W$9,#REF!,17,0)&lt;&gt;0,VLOOKUP(Cong_lam_them!$B24&amp;Cong_lam_them!W$9,#REF!,17,0),INDEX(#REF!,MATCH(Cong_lam_them!$B24,#REF!,0),MATCH(Cong_lam_them!W$9,#REF!,0))),INDEX(#REF!,MATCH(Cong_lam_them!$B24,#REF!,0),MATCH(Cong_lam_them!W$9,#REF!,0))),"")</f>
        <v/>
      </c>
      <c r="X24" s="64" t="str">
        <f>+IFERROR(IFERROR(IF(VLOOKUP(Cong_lam_them!$B24&amp;Cong_lam_them!X$9,#REF!,17,0)&lt;&gt;0,VLOOKUP(Cong_lam_them!$B24&amp;Cong_lam_them!X$9,#REF!,17,0),INDEX(#REF!,MATCH(Cong_lam_them!$B24,#REF!,0),MATCH(Cong_lam_them!X$9,#REF!,0))),INDEX(#REF!,MATCH(Cong_lam_them!$B24,#REF!,0),MATCH(Cong_lam_them!X$9,#REF!,0))),"")</f>
        <v/>
      </c>
      <c r="Y24" s="64" t="str">
        <f>+IFERROR(IFERROR(IF(VLOOKUP(Cong_lam_them!$B24&amp;Cong_lam_them!Y$9,#REF!,17,0)&lt;&gt;0,VLOOKUP(Cong_lam_them!$B24&amp;Cong_lam_them!Y$9,#REF!,17,0),INDEX(#REF!,MATCH(Cong_lam_them!$B24,#REF!,0),MATCH(Cong_lam_them!Y$9,#REF!,0))),INDEX(#REF!,MATCH(Cong_lam_them!$B24,#REF!,0),MATCH(Cong_lam_them!Y$9,#REF!,0))),"")</f>
        <v/>
      </c>
      <c r="Z24" s="64" t="str">
        <f>+IFERROR(IFERROR(IF(VLOOKUP(Cong_lam_them!$B24&amp;Cong_lam_them!Z$9,#REF!,17,0)&lt;&gt;0,VLOOKUP(Cong_lam_them!$B24&amp;Cong_lam_them!Z$9,#REF!,17,0),INDEX(#REF!,MATCH(Cong_lam_them!$B24,#REF!,0),MATCH(Cong_lam_them!Z$9,#REF!,0))),INDEX(#REF!,MATCH(Cong_lam_them!$B24,#REF!,0),MATCH(Cong_lam_them!Z$9,#REF!,0))),"")</f>
        <v/>
      </c>
      <c r="AA24" s="64" t="str">
        <f>+IFERROR(IFERROR(IF(VLOOKUP(Cong_lam_them!$B24&amp;Cong_lam_them!AA$9,#REF!,17,0)&lt;&gt;0,VLOOKUP(Cong_lam_them!$B24&amp;Cong_lam_them!AA$9,#REF!,17,0),INDEX(#REF!,MATCH(Cong_lam_them!$B24,#REF!,0),MATCH(Cong_lam_them!AA$9,#REF!,0))),INDEX(#REF!,MATCH(Cong_lam_them!$B24,#REF!,0),MATCH(Cong_lam_them!AA$9,#REF!,0))),"")</f>
        <v/>
      </c>
      <c r="AB24" s="64" t="str">
        <f>+IFERROR(IFERROR(IF(VLOOKUP(Cong_lam_them!$B24&amp;Cong_lam_them!AB$9,#REF!,17,0)&lt;&gt;0,VLOOKUP(Cong_lam_them!$B24&amp;Cong_lam_them!AB$9,#REF!,17,0),INDEX(#REF!,MATCH(Cong_lam_them!$B24,#REF!,0),MATCH(Cong_lam_them!AB$9,#REF!,0))),INDEX(#REF!,MATCH(Cong_lam_them!$B24,#REF!,0),MATCH(Cong_lam_them!AB$9,#REF!,0))),"")</f>
        <v/>
      </c>
      <c r="AC24" s="64" t="str">
        <f>+IFERROR(IFERROR(IF(VLOOKUP(Cong_lam_them!$B24&amp;Cong_lam_them!AC$9,#REF!,17,0)&lt;&gt;0,VLOOKUP(Cong_lam_them!$B24&amp;Cong_lam_them!AC$9,#REF!,17,0),INDEX(#REF!,MATCH(Cong_lam_them!$B24,#REF!,0),MATCH(Cong_lam_them!AC$9,#REF!,0))),INDEX(#REF!,MATCH(Cong_lam_them!$B24,#REF!,0),MATCH(Cong_lam_them!AC$9,#REF!,0))),"")</f>
        <v/>
      </c>
      <c r="AD24" s="64" t="str">
        <f>+IFERROR(IFERROR(IF(VLOOKUP(Cong_lam_them!$B24&amp;Cong_lam_them!AD$9,#REF!,17,0)&lt;&gt;0,VLOOKUP(Cong_lam_them!$B24&amp;Cong_lam_them!AD$9,#REF!,17,0),INDEX(#REF!,MATCH(Cong_lam_them!$B24,#REF!,0),MATCH(Cong_lam_them!AD$9,#REF!,0))),INDEX(#REF!,MATCH(Cong_lam_them!$B24,#REF!,0),MATCH(Cong_lam_them!AD$9,#REF!,0))),"")</f>
        <v/>
      </c>
      <c r="AE24" s="64" t="str">
        <f>+IFERROR(IFERROR(IF(VLOOKUP(Cong_lam_them!$B24&amp;Cong_lam_them!AE$9,#REF!,17,0)&lt;&gt;0,VLOOKUP(Cong_lam_them!$B24&amp;Cong_lam_them!AE$9,#REF!,17,0),INDEX(#REF!,MATCH(Cong_lam_them!$B24,#REF!,0),MATCH(Cong_lam_them!AE$9,#REF!,0))),INDEX(#REF!,MATCH(Cong_lam_them!$B24,#REF!,0),MATCH(Cong_lam_them!AE$9,#REF!,0))),"")</f>
        <v/>
      </c>
      <c r="AF24" s="64" t="str">
        <f>+IFERROR(IFERROR(IF(VLOOKUP(Cong_lam_them!$B24&amp;Cong_lam_them!AF$9,#REF!,17,0)&lt;&gt;0,VLOOKUP(Cong_lam_them!$B24&amp;Cong_lam_them!AF$9,#REF!,17,0),INDEX(#REF!,MATCH(Cong_lam_them!$B24,#REF!,0),MATCH(Cong_lam_them!AF$9,#REF!,0))),INDEX(#REF!,MATCH(Cong_lam_them!$B24,#REF!,0),MATCH(Cong_lam_them!AF$9,#REF!,0))),"")</f>
        <v/>
      </c>
      <c r="AG24" s="64" t="str">
        <f>+IFERROR(IFERROR(IF(VLOOKUP(Cong_lam_them!$B24&amp;Cong_lam_them!AG$9,#REF!,17,0)&lt;&gt;0,VLOOKUP(Cong_lam_them!$B24&amp;Cong_lam_them!AG$9,#REF!,17,0),INDEX(#REF!,MATCH(Cong_lam_them!$B24,#REF!,0),MATCH(Cong_lam_them!AG$9,#REF!,0))),INDEX(#REF!,MATCH(Cong_lam_them!$B24,#REF!,0),MATCH(Cong_lam_them!AG$9,#REF!,0))),"")</f>
        <v/>
      </c>
      <c r="AH24" s="64" t="str">
        <f>+IFERROR(IFERROR(IF(VLOOKUP(Cong_lam_them!$B24&amp;Cong_lam_them!AH$9,#REF!,17,0)&lt;&gt;0,VLOOKUP(Cong_lam_them!$B24&amp;Cong_lam_them!AH$9,#REF!,17,0),INDEX(#REF!,MATCH(Cong_lam_them!$B24,#REF!,0),MATCH(Cong_lam_them!AH$9,#REF!,0))),INDEX(#REF!,MATCH(Cong_lam_them!$B24,#REF!,0),MATCH(Cong_lam_them!AH$9,#REF!,0))),"")</f>
        <v/>
      </c>
      <c r="AI24" s="64" t="str">
        <f>+IFERROR(IFERROR(IF(VLOOKUP(Cong_lam_them!$B24&amp;Cong_lam_them!AI$9,#REF!,17,0)&lt;&gt;0,VLOOKUP(Cong_lam_them!$B24&amp;Cong_lam_them!AI$9,#REF!,17,0),INDEX(#REF!,MATCH(Cong_lam_them!$B24,#REF!,0),MATCH(Cong_lam_them!AI$9,#REF!,0))),INDEX(#REF!,MATCH(Cong_lam_them!$B24,#REF!,0),MATCH(Cong_lam_them!AI$9,#REF!,0))),"")</f>
        <v/>
      </c>
      <c r="AJ24" s="64" t="str">
        <f>+IFERROR(IFERROR(IF(VLOOKUP(Cong_lam_them!$B24&amp;Cong_lam_them!AJ$9,#REF!,17,0)&lt;&gt;0,VLOOKUP(Cong_lam_them!$B24&amp;Cong_lam_them!AJ$9,#REF!,17,0),INDEX(#REF!,MATCH(Cong_lam_them!$B24,#REF!,0),MATCH(Cong_lam_them!AJ$9,#REF!,0))),INDEX(#REF!,MATCH(Cong_lam_them!$B24,#REF!,0),MATCH(Cong_lam_them!AJ$9,#REF!,0))),"")</f>
        <v/>
      </c>
      <c r="AK24" s="13">
        <f t="shared" ref="AK24:AP24" si="12">SUM(AK10:AK23)</f>
        <v>0</v>
      </c>
      <c r="AL24" s="13">
        <f t="shared" si="12"/>
        <v>0.23529411764705882</v>
      </c>
      <c r="AM24" s="13">
        <f t="shared" si="12"/>
        <v>0.19607843137254902</v>
      </c>
      <c r="AN24" s="13">
        <f t="shared" si="12"/>
        <v>0</v>
      </c>
      <c r="AO24" s="13">
        <f t="shared" si="12"/>
        <v>0</v>
      </c>
      <c r="AP24" s="13">
        <f t="shared" si="12"/>
        <v>0</v>
      </c>
      <c r="AQ24" s="13">
        <f t="shared" si="6"/>
        <v>0.43137254901960786</v>
      </c>
      <c r="AR24" s="13">
        <f>SUM(AR10:AR23)</f>
        <v>2.3529411764705882E-2</v>
      </c>
      <c r="AS24" s="13">
        <f>SUM(AS10:AS23)</f>
        <v>0</v>
      </c>
      <c r="AT24" s="13">
        <f>SUM(AT10:AT23)</f>
        <v>0</v>
      </c>
      <c r="AU24" s="65"/>
      <c r="AV24" s="11"/>
      <c r="AW24" s="65"/>
      <c r="AX24" s="105"/>
      <c r="AY24" s="106"/>
      <c r="AZ24" s="6">
        <f>SUMIFS('LAM THEM ST'!$DG:$DG,'LAM THEM ST'!$B:$B,Cong_lam_them!$B24)</f>
        <v>0</v>
      </c>
      <c r="BA24" s="6"/>
    </row>
    <row r="27" spans="1:53" ht="20.25" x14ac:dyDescent="0.3">
      <c r="E27" s="107" t="s">
        <v>35</v>
      </c>
      <c r="F27" s="107"/>
      <c r="G27" s="107"/>
      <c r="H27" s="107"/>
      <c r="I27" s="107"/>
      <c r="J27" s="107"/>
      <c r="K27" s="17"/>
      <c r="L27" s="17"/>
      <c r="M27" s="17"/>
      <c r="N27" s="17"/>
      <c r="O27" s="17"/>
      <c r="P27" s="17"/>
      <c r="Q27" s="276" t="s">
        <v>36</v>
      </c>
      <c r="R27" s="276"/>
      <c r="S27" s="276"/>
      <c r="T27" s="276"/>
      <c r="U27" s="276"/>
      <c r="V27" s="276"/>
      <c r="W27" s="276"/>
      <c r="X27" s="276"/>
      <c r="Y27" s="17"/>
      <c r="Z27" s="17"/>
      <c r="AA27" s="17"/>
      <c r="AB27" s="17"/>
      <c r="AC27" s="17"/>
      <c r="AD27" s="17"/>
      <c r="AE27" s="17"/>
      <c r="AF27" s="17"/>
      <c r="AG27" s="107" t="s">
        <v>37</v>
      </c>
      <c r="AH27" s="107"/>
      <c r="AI27" s="107"/>
      <c r="AJ27" s="107"/>
      <c r="AK27" s="107"/>
      <c r="AL27" s="107"/>
      <c r="AM27" s="107"/>
      <c r="AN27" s="107"/>
      <c r="AO27" s="17"/>
      <c r="AP27" s="17"/>
    </row>
  </sheetData>
  <sheetProtection formatCells="0" formatColumns="0" formatRows="0" insertColumns="0" insertRows="0" insertHyperlinks="0" deleteColumns="0" deleteRows="0" sort="0" autoFilter="0" pivotTables="0"/>
  <autoFilter ref="A9:BA24" xr:uid="{00000000-0009-0000-0000-000007000000}"/>
  <mergeCells count="23">
    <mergeCell ref="AV8:AV9"/>
    <mergeCell ref="AW8:AW9"/>
    <mergeCell ref="A7:A9"/>
    <mergeCell ref="B7:B9"/>
    <mergeCell ref="C7:C9"/>
    <mergeCell ref="D7:D9"/>
    <mergeCell ref="E7:E9"/>
    <mergeCell ref="Q27:X27"/>
    <mergeCell ref="AY7:AY9"/>
    <mergeCell ref="AZ7:AZ9"/>
    <mergeCell ref="BA7:BA9"/>
    <mergeCell ref="AK8:AK9"/>
    <mergeCell ref="AL8:AL9"/>
    <mergeCell ref="AM8:AM9"/>
    <mergeCell ref="AN8:AN9"/>
    <mergeCell ref="AO8:AO9"/>
    <mergeCell ref="AP8:AP9"/>
    <mergeCell ref="AQ8:AQ9"/>
    <mergeCell ref="AX7:AX9"/>
    <mergeCell ref="AR8:AR9"/>
    <mergeCell ref="AS8:AS9"/>
    <mergeCell ref="AT8:AT9"/>
    <mergeCell ref="AU8:AU9"/>
  </mergeCells>
  <conditionalFormatting sqref="A7">
    <cfRule type="duplicateValues" dxfId="35" priority="9"/>
  </conditionalFormatting>
  <conditionalFormatting sqref="B1:B7 B13:B24">
    <cfRule type="duplicateValues" dxfId="34" priority="14"/>
  </conditionalFormatting>
  <conditionalFormatting sqref="B11">
    <cfRule type="duplicateValues" dxfId="33" priority="2"/>
    <cfRule type="duplicateValues" dxfId="32" priority="3"/>
    <cfRule type="duplicateValues" dxfId="31" priority="4"/>
    <cfRule type="duplicateValues" dxfId="30" priority="5"/>
    <cfRule type="duplicateValues" dxfId="29" priority="6"/>
    <cfRule type="duplicateValues" dxfId="28" priority="7"/>
    <cfRule type="duplicateValues" dxfId="27" priority="8"/>
  </conditionalFormatting>
  <conditionalFormatting sqref="B12">
    <cfRule type="duplicateValues" dxfId="26" priority="10"/>
  </conditionalFormatting>
  <conditionalFormatting sqref="F8:AI10">
    <cfRule type="expression" dxfId="25" priority="12">
      <formula>F$8="CN"</formula>
    </cfRule>
  </conditionalFormatting>
  <conditionalFormatting sqref="F10:AJ24">
    <cfRule type="expression" dxfId="24" priority="1">
      <formula>F$8="CN"</formula>
    </cfRule>
    <cfRule type="expression" dxfId="23" priority="13">
      <formula>F10&lt;&gt;INDEX(#REF!,MATCH($B10,#REF!,0),MATCH(F$9,#REF!,0))</formula>
    </cfRule>
  </conditionalFormatting>
  <conditionalFormatting sqref="AJ8:AJ9">
    <cfRule type="expression" dxfId="22" priority="11">
      <formula>AJ$8="CN"</formula>
    </cfRule>
  </conditionalFormatting>
  <dataValidations count="1">
    <dataValidation allowBlank="1" showInputMessage="1" showErrorMessage="1" prompt="Vlookup từ Bảng theo dõi Phép - Bù cột Công tính KPI_x000a_" sqref="BA7:BA9" xr:uid="{00000000-0002-0000-0700-000000000000}"/>
  </dataValidations>
  <pageMargins left="0.17" right="0.04" top="0.31" bottom="0.51" header="0.51" footer="0.27"/>
  <pageSetup paperSize="9" scale="37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tabColor rgb="FFFFFF00"/>
  </sheetPr>
  <dimension ref="A1:DG21"/>
  <sheetViews>
    <sheetView workbookViewId="0">
      <pane xSplit="3" ySplit="7" topLeftCell="BU8" activePane="bottomRight" state="frozen"/>
      <selection pane="topRight" activeCell="D1" sqref="D1"/>
      <selection pane="bottomLeft" activeCell="A8" sqref="A8"/>
      <selection pane="bottomRight" activeCell="CC9" sqref="CC9"/>
    </sheetView>
  </sheetViews>
  <sheetFormatPr defaultColWidth="9.140625" defaultRowHeight="15.75" x14ac:dyDescent="0.25"/>
  <cols>
    <col min="1" max="1" width="5.85546875" style="99" customWidth="1"/>
    <col min="2" max="2" width="11.85546875" style="75" customWidth="1"/>
    <col min="3" max="3" width="23" style="75" bestFit="1" customWidth="1"/>
    <col min="4" max="4" width="32" style="75" bestFit="1" customWidth="1"/>
    <col min="5" max="5" width="12.140625" style="75" bestFit="1" customWidth="1"/>
    <col min="6" max="6" width="9.42578125" style="75" customWidth="1"/>
    <col min="7" max="8" width="7.85546875" style="100" customWidth="1"/>
    <col min="9" max="9" width="7.85546875" style="116" customWidth="1"/>
    <col min="10" max="11" width="7.85546875" style="100" customWidth="1"/>
    <col min="12" max="12" width="7.85546875" style="116" customWidth="1"/>
    <col min="13" max="14" width="7.85546875" style="100" customWidth="1"/>
    <col min="15" max="15" width="7.85546875" style="116" customWidth="1"/>
    <col min="16" max="17" width="7.85546875" style="100" customWidth="1"/>
    <col min="18" max="18" width="7.85546875" style="116" customWidth="1"/>
    <col min="19" max="20" width="7.85546875" style="100" customWidth="1"/>
    <col min="21" max="21" width="7.85546875" style="116" customWidth="1"/>
    <col min="22" max="23" width="7.85546875" style="100" customWidth="1"/>
    <col min="24" max="24" width="7.85546875" style="116" customWidth="1"/>
    <col min="25" max="26" width="7.85546875" style="100" customWidth="1"/>
    <col min="27" max="27" width="7.85546875" style="215" customWidth="1"/>
    <col min="28" max="29" width="7.85546875" style="100" customWidth="1"/>
    <col min="30" max="30" width="7.85546875" style="116" customWidth="1"/>
    <col min="31" max="32" width="7.85546875" style="100" customWidth="1"/>
    <col min="33" max="33" width="7.85546875" style="116" customWidth="1"/>
    <col min="34" max="35" width="7.85546875" style="100" customWidth="1"/>
    <col min="36" max="36" width="7.85546875" style="116" customWidth="1"/>
    <col min="37" max="38" width="7.85546875" style="100" customWidth="1"/>
    <col min="39" max="39" width="7.85546875" style="116" customWidth="1"/>
    <col min="40" max="41" width="7.85546875" style="100" customWidth="1"/>
    <col min="42" max="42" width="9.140625" style="116" customWidth="1"/>
    <col min="43" max="44" width="7.85546875" style="100" customWidth="1"/>
    <col min="45" max="45" width="9.140625" style="116"/>
    <col min="46" max="47" width="7.85546875" style="100" customWidth="1"/>
    <col min="48" max="48" width="7.85546875" style="116" customWidth="1"/>
    <col min="49" max="50" width="7.85546875" style="100" customWidth="1"/>
    <col min="51" max="51" width="7.85546875" style="116" customWidth="1"/>
    <col min="52" max="53" width="7.85546875" style="100" customWidth="1"/>
    <col min="54" max="54" width="7.85546875" style="116" customWidth="1"/>
    <col min="55" max="56" width="7.85546875" style="100" customWidth="1"/>
    <col min="57" max="57" width="7.85546875" style="116" customWidth="1"/>
    <col min="58" max="59" width="7.85546875" style="100" customWidth="1"/>
    <col min="60" max="60" width="7.85546875" style="116" customWidth="1"/>
    <col min="61" max="62" width="7.85546875" style="100" customWidth="1"/>
    <col min="63" max="63" width="7.85546875" style="116" customWidth="1"/>
    <col min="64" max="65" width="7.85546875" style="100" customWidth="1"/>
    <col min="66" max="66" width="7.85546875" style="116" customWidth="1"/>
    <col min="67" max="68" width="7.85546875" style="100" customWidth="1"/>
    <col min="69" max="69" width="7.85546875" style="116" customWidth="1"/>
    <col min="70" max="71" width="7.85546875" style="100" customWidth="1"/>
    <col min="72" max="72" width="7.85546875" style="116" customWidth="1"/>
    <col min="73" max="74" width="7.85546875" style="100" customWidth="1"/>
    <col min="75" max="75" width="7.85546875" style="116" customWidth="1"/>
    <col min="76" max="77" width="7.85546875" style="100" customWidth="1"/>
    <col min="78" max="78" width="7.85546875" style="116" customWidth="1"/>
    <col min="79" max="80" width="7.85546875" style="100" customWidth="1"/>
    <col min="81" max="81" width="7.85546875" style="116" customWidth="1"/>
    <col min="82" max="83" width="7.85546875" style="100" customWidth="1"/>
    <col min="84" max="84" width="7.85546875" style="116" customWidth="1"/>
    <col min="85" max="86" width="7.85546875" style="100" customWidth="1"/>
    <col min="87" max="87" width="7.85546875" style="215" customWidth="1"/>
    <col min="88" max="89" width="7.85546875" style="100" customWidth="1"/>
    <col min="90" max="90" width="7.85546875" style="215" customWidth="1"/>
    <col min="91" max="92" width="7.85546875" style="100" customWidth="1"/>
    <col min="93" max="93" width="7.85546875" style="215" customWidth="1"/>
    <col min="94" max="95" width="7.85546875" style="238" customWidth="1"/>
    <col min="96" max="96" width="7.85546875" style="239" customWidth="1"/>
    <col min="97" max="98" width="7.85546875" style="100" customWidth="1"/>
    <col min="99" max="99" width="7.85546875" style="215" customWidth="1"/>
    <col min="100" max="100" width="7.85546875" style="100" customWidth="1"/>
    <col min="101" max="101" width="9" style="100" customWidth="1"/>
    <col min="102" max="103" width="10.85546875" style="75" customWidth="1"/>
    <col min="104" max="104" width="10.5703125" style="75" customWidth="1"/>
    <col min="105" max="105" width="11.85546875" style="75" customWidth="1"/>
    <col min="106" max="108" width="11.85546875" style="116" customWidth="1"/>
    <col min="109" max="109" width="36.140625" style="75" bestFit="1" customWidth="1"/>
    <col min="110" max="111" width="9.140625" style="116"/>
    <col min="112" max="16384" width="9.140625" style="75"/>
  </cols>
  <sheetData>
    <row r="1" spans="1:111" x14ac:dyDescent="0.25">
      <c r="A1" s="72"/>
      <c r="B1" s="73"/>
      <c r="C1" s="73"/>
      <c r="D1" s="73"/>
      <c r="E1" s="73"/>
      <c r="F1" s="73"/>
      <c r="G1" s="73"/>
      <c r="H1" s="73"/>
      <c r="I1" s="108"/>
      <c r="J1" s="73"/>
      <c r="K1" s="73"/>
      <c r="L1" s="108"/>
      <c r="M1" s="73"/>
      <c r="N1" s="73"/>
      <c r="O1" s="108"/>
      <c r="P1" s="73"/>
      <c r="Q1" s="73"/>
      <c r="R1" s="108"/>
      <c r="S1" s="73"/>
      <c r="T1" s="73"/>
      <c r="U1" s="108"/>
      <c r="V1" s="73"/>
      <c r="W1" s="73"/>
      <c r="X1" s="108"/>
      <c r="Y1" s="73"/>
      <c r="Z1" s="73"/>
      <c r="AA1" s="263"/>
      <c r="AB1" s="73"/>
      <c r="AC1" s="73"/>
      <c r="AD1" s="108"/>
      <c r="AE1" s="73"/>
      <c r="AF1" s="73"/>
      <c r="AG1" s="108"/>
      <c r="AH1" s="73"/>
      <c r="AI1" s="73"/>
      <c r="AJ1" s="108"/>
      <c r="AK1" s="73"/>
      <c r="AL1" s="73"/>
      <c r="AM1" s="108"/>
      <c r="AN1" s="73"/>
      <c r="AO1" s="73"/>
      <c r="AP1" s="108"/>
      <c r="AQ1" s="73"/>
      <c r="AR1" s="73"/>
      <c r="AS1" s="108"/>
      <c r="AT1" s="73"/>
      <c r="AU1" s="73"/>
      <c r="AV1" s="108"/>
      <c r="AW1" s="73"/>
      <c r="AX1" s="73"/>
      <c r="AY1" s="108"/>
      <c r="AZ1" s="73"/>
      <c r="BA1" s="73"/>
      <c r="BB1" s="108"/>
      <c r="BC1" s="73"/>
      <c r="BD1" s="73"/>
      <c r="BE1" s="108"/>
      <c r="BF1" s="73"/>
      <c r="BG1" s="73"/>
      <c r="BH1" s="108"/>
      <c r="BI1" s="73"/>
      <c r="BJ1" s="73"/>
      <c r="BK1" s="108"/>
      <c r="BL1" s="73"/>
      <c r="BM1" s="73"/>
      <c r="BN1" s="108"/>
      <c r="BO1" s="74"/>
      <c r="BP1" s="74"/>
      <c r="BQ1" s="117"/>
      <c r="BR1" s="74"/>
      <c r="BS1" s="74"/>
      <c r="BT1" s="117"/>
      <c r="BU1" s="74"/>
      <c r="BV1" s="74"/>
      <c r="BW1" s="117"/>
      <c r="BX1" s="74"/>
      <c r="BY1" s="74"/>
      <c r="BZ1" s="117"/>
      <c r="CA1" s="74"/>
      <c r="CB1" s="74"/>
      <c r="CC1" s="117"/>
      <c r="CD1" s="74"/>
      <c r="CE1" s="74"/>
      <c r="CF1" s="117"/>
      <c r="CG1" s="74"/>
      <c r="CH1" s="74"/>
      <c r="CI1" s="217"/>
      <c r="CJ1" s="74"/>
      <c r="CK1" s="74"/>
      <c r="CL1" s="217"/>
      <c r="CM1" s="74"/>
      <c r="CN1" s="74"/>
      <c r="CO1" s="217"/>
      <c r="CP1" s="241"/>
      <c r="CQ1" s="241"/>
      <c r="CR1" s="242"/>
      <c r="CS1" s="74"/>
      <c r="CT1" s="74"/>
      <c r="CU1" s="217"/>
      <c r="CV1" s="74"/>
      <c r="CW1" s="74"/>
      <c r="DE1" s="221" t="s">
        <v>150</v>
      </c>
    </row>
    <row r="2" spans="1:111" x14ac:dyDescent="0.25">
      <c r="A2" s="76"/>
      <c r="B2" s="77" t="s">
        <v>73</v>
      </c>
      <c r="C2" s="78"/>
      <c r="D2" s="78"/>
      <c r="E2" s="78"/>
      <c r="F2" s="78"/>
      <c r="G2" s="78"/>
      <c r="H2" s="78"/>
      <c r="I2" s="109"/>
      <c r="J2" s="78"/>
      <c r="K2" s="78"/>
      <c r="L2" s="109"/>
      <c r="M2" s="78"/>
      <c r="N2" s="78"/>
      <c r="O2" s="109"/>
      <c r="P2" s="78"/>
      <c r="Q2" s="78"/>
      <c r="R2" s="109"/>
      <c r="S2" s="78"/>
      <c r="T2" s="78"/>
      <c r="U2" s="109"/>
      <c r="V2" s="78"/>
      <c r="W2" s="78"/>
      <c r="X2" s="109"/>
      <c r="Y2" s="78"/>
      <c r="Z2" s="78"/>
      <c r="AA2" s="216"/>
      <c r="AB2" s="78"/>
      <c r="AC2" s="78"/>
      <c r="AD2" s="109"/>
      <c r="AE2" s="78"/>
      <c r="AF2" s="78"/>
      <c r="AG2" s="109"/>
      <c r="AH2" s="78"/>
      <c r="AI2" s="78"/>
      <c r="AJ2" s="109"/>
      <c r="AK2" s="78"/>
      <c r="AL2" s="78"/>
      <c r="AM2" s="109"/>
      <c r="AN2" s="78"/>
      <c r="AO2" s="78"/>
      <c r="AP2" s="109"/>
      <c r="AQ2" s="78"/>
      <c r="AR2" s="78"/>
      <c r="AS2" s="109"/>
      <c r="AT2" s="78"/>
      <c r="AU2" s="78"/>
      <c r="AV2" s="109"/>
      <c r="AW2" s="78"/>
      <c r="AX2" s="78"/>
      <c r="AY2" s="109"/>
      <c r="AZ2" s="78"/>
      <c r="BA2" s="78"/>
      <c r="BB2" s="109"/>
      <c r="BC2" s="78"/>
      <c r="BD2" s="78"/>
      <c r="BE2" s="109"/>
      <c r="BF2" s="78"/>
      <c r="BG2" s="78"/>
      <c r="BH2" s="109"/>
      <c r="BI2" s="78"/>
      <c r="BJ2" s="78"/>
      <c r="BK2" s="109"/>
      <c r="BL2" s="78"/>
      <c r="BM2" s="78"/>
      <c r="BN2" s="109"/>
      <c r="BO2" s="79"/>
      <c r="BP2" s="79"/>
      <c r="BQ2" s="118"/>
      <c r="BR2" s="79"/>
      <c r="BS2" s="79"/>
      <c r="BT2" s="118"/>
      <c r="BU2" s="79"/>
      <c r="BV2" s="79"/>
      <c r="BW2" s="118"/>
      <c r="BX2" s="79"/>
      <c r="BY2" s="79"/>
      <c r="BZ2" s="118"/>
      <c r="CA2" s="79"/>
      <c r="CB2" s="79"/>
      <c r="CC2" s="118"/>
      <c r="CD2" s="79"/>
      <c r="CE2" s="79"/>
      <c r="CF2" s="118"/>
      <c r="CG2" s="79"/>
      <c r="CH2" s="79"/>
      <c r="CI2" s="218"/>
      <c r="CJ2" s="79"/>
      <c r="CK2" s="79"/>
      <c r="CL2" s="218"/>
      <c r="CM2" s="79"/>
      <c r="CN2" s="79"/>
      <c r="CO2" s="218"/>
      <c r="CP2" s="243"/>
      <c r="CQ2" s="243"/>
      <c r="CR2" s="244"/>
      <c r="CS2" s="79"/>
      <c r="CT2" s="79"/>
      <c r="CU2" s="218"/>
      <c r="CV2" s="79"/>
      <c r="CW2" s="79"/>
      <c r="DE2" s="221" t="s">
        <v>151</v>
      </c>
    </row>
    <row r="3" spans="1:111" x14ac:dyDescent="0.25">
      <c r="A3" s="80"/>
      <c r="B3" s="78" t="s">
        <v>74</v>
      </c>
      <c r="C3" s="78"/>
      <c r="D3" s="78"/>
      <c r="E3" s="78"/>
      <c r="F3" s="78"/>
      <c r="G3" s="78"/>
      <c r="H3" s="78"/>
      <c r="I3" s="109"/>
      <c r="J3" s="78"/>
      <c r="K3" s="78"/>
      <c r="L3" s="109"/>
      <c r="M3" s="78"/>
      <c r="N3" s="78"/>
      <c r="O3" s="109"/>
      <c r="P3" s="78"/>
      <c r="Q3" s="78"/>
      <c r="R3" s="109"/>
      <c r="S3" s="78"/>
      <c r="T3" s="78"/>
      <c r="U3" s="109"/>
      <c r="V3" s="78"/>
      <c r="W3" s="78"/>
      <c r="X3" s="109"/>
      <c r="Y3" s="78"/>
      <c r="Z3" s="78"/>
      <c r="AA3" s="216"/>
      <c r="AB3" s="78"/>
      <c r="AC3" s="78"/>
      <c r="AD3" s="109"/>
      <c r="AE3" s="78"/>
      <c r="AF3" s="78"/>
      <c r="AG3" s="109"/>
      <c r="AH3" s="78"/>
      <c r="AI3" s="78"/>
      <c r="AJ3" s="109"/>
      <c r="AK3" s="78"/>
      <c r="AL3" s="78"/>
      <c r="AM3" s="109"/>
      <c r="AN3" s="78"/>
      <c r="AO3" s="78"/>
      <c r="AP3" s="109"/>
      <c r="AQ3" s="78"/>
      <c r="AR3" s="78"/>
      <c r="AS3" s="109"/>
      <c r="AT3" s="78"/>
      <c r="AU3" s="78"/>
      <c r="AV3" s="109"/>
      <c r="AW3" s="78"/>
      <c r="AX3" s="78"/>
      <c r="AY3" s="109"/>
      <c r="AZ3" s="78"/>
      <c r="BA3" s="78"/>
      <c r="BB3" s="109"/>
      <c r="BC3" s="78"/>
      <c r="BD3" s="78"/>
      <c r="BE3" s="109"/>
      <c r="BF3" s="78"/>
      <c r="BG3" s="78"/>
      <c r="BH3" s="109"/>
      <c r="BI3" s="78"/>
      <c r="BJ3" s="78"/>
      <c r="BK3" s="109"/>
      <c r="BL3" s="78"/>
      <c r="BM3" s="78"/>
      <c r="BN3" s="109"/>
      <c r="BO3" s="79"/>
      <c r="BP3" s="79"/>
      <c r="BQ3" s="118"/>
      <c r="BR3" s="79"/>
      <c r="BS3" s="79"/>
      <c r="BT3" s="118"/>
      <c r="BU3" s="79"/>
      <c r="BV3" s="79"/>
      <c r="BW3" s="118"/>
      <c r="BX3" s="79"/>
      <c r="BY3" s="79"/>
      <c r="BZ3" s="118"/>
      <c r="CA3" s="79"/>
      <c r="CB3" s="79"/>
      <c r="CC3" s="118"/>
      <c r="CD3" s="79"/>
      <c r="CE3" s="79"/>
      <c r="CF3" s="118"/>
      <c r="CG3" s="79"/>
      <c r="CH3" s="79"/>
      <c r="CI3" s="218"/>
      <c r="CJ3" s="79"/>
      <c r="CK3" s="79"/>
      <c r="CL3" s="218"/>
      <c r="CM3" s="79"/>
      <c r="CN3" s="79"/>
      <c r="CO3" s="218"/>
      <c r="CP3" s="243"/>
      <c r="CQ3" s="243"/>
      <c r="CR3" s="244"/>
      <c r="CS3" s="79"/>
      <c r="CT3" s="79"/>
      <c r="CU3" s="218"/>
      <c r="CV3" s="79"/>
      <c r="CW3" s="79"/>
      <c r="DE3" s="221" t="s">
        <v>152</v>
      </c>
    </row>
    <row r="4" spans="1:111" s="84" customFormat="1" ht="33" x14ac:dyDescent="0.45">
      <c r="A4" s="81" t="s">
        <v>75</v>
      </c>
      <c r="B4" s="82"/>
      <c r="C4" s="82"/>
      <c r="D4" s="82"/>
      <c r="E4" s="82"/>
      <c r="F4" s="82"/>
      <c r="G4" s="82"/>
      <c r="H4" s="82"/>
      <c r="I4" s="110"/>
      <c r="J4" s="82"/>
      <c r="K4" s="82"/>
      <c r="L4" s="110"/>
      <c r="M4" s="82"/>
      <c r="N4" s="82"/>
      <c r="O4" s="110"/>
      <c r="P4" s="82"/>
      <c r="Q4" s="82"/>
      <c r="R4" s="110"/>
      <c r="S4" s="82"/>
      <c r="T4" s="82"/>
      <c r="U4" s="110"/>
      <c r="V4" s="82"/>
      <c r="W4" s="82"/>
      <c r="X4" s="110"/>
      <c r="Y4" s="82"/>
      <c r="Z4" s="82"/>
      <c r="AA4" s="219"/>
      <c r="AB4" s="82"/>
      <c r="AC4" s="82"/>
      <c r="AD4" s="110"/>
      <c r="AE4" s="82"/>
      <c r="AF4" s="82"/>
      <c r="AG4" s="110"/>
      <c r="AH4" s="82"/>
      <c r="AI4" s="82"/>
      <c r="AJ4" s="110"/>
      <c r="AK4" s="83" t="s">
        <v>76</v>
      </c>
      <c r="AL4" s="82"/>
      <c r="AM4" s="110"/>
      <c r="AN4" s="82"/>
      <c r="AO4" s="82"/>
      <c r="AP4" s="110"/>
      <c r="AQ4" s="82"/>
      <c r="AR4" s="82"/>
      <c r="AS4" s="110"/>
      <c r="AT4" s="82"/>
      <c r="AU4" s="82"/>
      <c r="AV4" s="110"/>
      <c r="AW4" s="82"/>
      <c r="AX4" s="82"/>
      <c r="AY4" s="110"/>
      <c r="AZ4" s="82"/>
      <c r="BA4" s="82"/>
      <c r="BB4" s="110"/>
      <c r="BC4" s="82"/>
      <c r="BD4" s="82"/>
      <c r="BE4" s="110"/>
      <c r="BF4" s="82"/>
      <c r="BG4" s="82"/>
      <c r="BH4" s="110"/>
      <c r="BI4" s="82"/>
      <c r="BJ4" s="82"/>
      <c r="BK4" s="110"/>
      <c r="BL4" s="82"/>
      <c r="BM4" s="82"/>
      <c r="BN4" s="110"/>
      <c r="BO4" s="82"/>
      <c r="BP4" s="82"/>
      <c r="BQ4" s="110"/>
      <c r="BR4" s="82"/>
      <c r="BS4" s="82"/>
      <c r="BT4" s="110"/>
      <c r="BU4" s="82"/>
      <c r="BV4" s="82"/>
      <c r="BW4" s="110"/>
      <c r="BX4" s="82"/>
      <c r="BY4" s="82"/>
      <c r="BZ4" s="110"/>
      <c r="CA4" s="82"/>
      <c r="CB4" s="82"/>
      <c r="CC4" s="110"/>
      <c r="CD4" s="82"/>
      <c r="CE4" s="82"/>
      <c r="CF4" s="110"/>
      <c r="CG4" s="82"/>
      <c r="CH4" s="82"/>
      <c r="CI4" s="219"/>
      <c r="CJ4" s="82"/>
      <c r="CK4" s="82"/>
      <c r="CL4" s="219"/>
      <c r="CM4" s="82"/>
      <c r="CN4" s="82"/>
      <c r="CO4" s="219"/>
      <c r="CP4" s="225"/>
      <c r="CQ4" s="225"/>
      <c r="CR4" s="226"/>
      <c r="CS4" s="82"/>
      <c r="CT4" s="82"/>
      <c r="CU4" s="219"/>
      <c r="CV4" s="82"/>
      <c r="CW4" s="82"/>
      <c r="CX4" s="82"/>
      <c r="CY4" s="82"/>
      <c r="CZ4" s="82"/>
      <c r="DA4" s="82"/>
      <c r="DB4" s="110"/>
      <c r="DC4" s="110"/>
      <c r="DD4" s="110"/>
      <c r="DE4" s="222" t="s">
        <v>153</v>
      </c>
      <c r="DF4" s="146"/>
      <c r="DG4" s="146"/>
    </row>
    <row r="5" spans="1:111" s="86" customFormat="1" x14ac:dyDescent="0.25">
      <c r="A5" s="85"/>
      <c r="G5" s="87"/>
      <c r="H5" s="87"/>
      <c r="I5" s="111"/>
      <c r="J5" s="87"/>
      <c r="K5" s="87"/>
      <c r="L5" s="111"/>
      <c r="M5" s="87"/>
      <c r="N5" s="87"/>
      <c r="O5" s="111"/>
      <c r="P5" s="87"/>
      <c r="Q5" s="87"/>
      <c r="R5" s="111"/>
      <c r="S5" s="87"/>
      <c r="T5" s="87"/>
      <c r="U5" s="111"/>
      <c r="V5" s="87"/>
      <c r="W5" s="87"/>
      <c r="X5" s="111"/>
      <c r="Y5" s="87"/>
      <c r="Z5" s="87"/>
      <c r="AA5" s="220"/>
      <c r="AB5" s="87"/>
      <c r="AC5" s="87"/>
      <c r="AD5" s="111"/>
      <c r="AE5" s="87"/>
      <c r="AF5" s="87"/>
      <c r="AG5" s="111"/>
      <c r="AH5" s="87"/>
      <c r="AI5" s="87"/>
      <c r="AJ5" s="111"/>
      <c r="AK5" s="87"/>
      <c r="AL5" s="87"/>
      <c r="AM5" s="111"/>
      <c r="AN5" s="87"/>
      <c r="AO5" s="87"/>
      <c r="AP5" s="111"/>
      <c r="AQ5" s="87"/>
      <c r="AR5" s="87"/>
      <c r="AS5" s="111"/>
      <c r="AT5" s="87"/>
      <c r="AU5" s="87"/>
      <c r="AV5" s="111"/>
      <c r="AW5" s="87"/>
      <c r="AX5" s="87"/>
      <c r="AY5" s="111"/>
      <c r="AZ5" s="87"/>
      <c r="BA5" s="87"/>
      <c r="BB5" s="111"/>
      <c r="BC5" s="87"/>
      <c r="BD5" s="87"/>
      <c r="BE5" s="111"/>
      <c r="BF5" s="87"/>
      <c r="BG5" s="87"/>
      <c r="BH5" s="111"/>
      <c r="BI5" s="87"/>
      <c r="BJ5" s="87"/>
      <c r="BK5" s="111"/>
      <c r="BL5" s="87"/>
      <c r="BM5" s="87"/>
      <c r="BN5" s="111"/>
      <c r="BO5" s="87"/>
      <c r="BP5" s="87"/>
      <c r="BQ5" s="111"/>
      <c r="BR5" s="87"/>
      <c r="BS5" s="87"/>
      <c r="BT5" s="111"/>
      <c r="BU5" s="87"/>
      <c r="BV5" s="87"/>
      <c r="BW5" s="111"/>
      <c r="BX5" s="87"/>
      <c r="BY5" s="87"/>
      <c r="BZ5" s="111"/>
      <c r="CA5" s="87"/>
      <c r="CB5" s="87"/>
      <c r="CC5" s="111"/>
      <c r="CD5" s="87"/>
      <c r="CE5" s="87"/>
      <c r="CF5" s="111"/>
      <c r="CG5" s="87"/>
      <c r="CH5" s="87"/>
      <c r="CI5" s="220"/>
      <c r="CJ5" s="87"/>
      <c r="CK5" s="87"/>
      <c r="CL5" s="220"/>
      <c r="CM5" s="87"/>
      <c r="CN5" s="87"/>
      <c r="CO5" s="220"/>
      <c r="CP5" s="227"/>
      <c r="CQ5" s="227"/>
      <c r="CR5" s="228"/>
      <c r="CS5" s="87"/>
      <c r="CT5" s="87"/>
      <c r="CU5" s="220"/>
      <c r="CV5" s="87"/>
      <c r="CW5" s="87"/>
      <c r="DB5" s="111"/>
      <c r="DC5" s="111"/>
      <c r="DD5" s="111"/>
      <c r="DE5" s="223" t="s">
        <v>154</v>
      </c>
      <c r="DF5" s="111"/>
      <c r="DG5" s="111"/>
    </row>
    <row r="6" spans="1:111" s="88" customFormat="1" ht="14.25" customHeight="1" x14ac:dyDescent="0.25">
      <c r="A6" s="295" t="s">
        <v>42</v>
      </c>
      <c r="B6" s="297" t="s">
        <v>77</v>
      </c>
      <c r="C6" s="297" t="s">
        <v>47</v>
      </c>
      <c r="D6" s="297" t="s">
        <v>2</v>
      </c>
      <c r="E6" s="297" t="s">
        <v>149</v>
      </c>
      <c r="F6" s="297" t="s">
        <v>39</v>
      </c>
      <c r="G6" s="292" t="s">
        <v>78</v>
      </c>
      <c r="H6" s="293"/>
      <c r="I6" s="294"/>
      <c r="J6" s="292" t="s">
        <v>79</v>
      </c>
      <c r="K6" s="293"/>
      <c r="L6" s="294"/>
      <c r="M6" s="292" t="s">
        <v>80</v>
      </c>
      <c r="N6" s="293"/>
      <c r="O6" s="294"/>
      <c r="P6" s="292" t="s">
        <v>81</v>
      </c>
      <c r="Q6" s="293"/>
      <c r="R6" s="294"/>
      <c r="S6" s="292" t="s">
        <v>82</v>
      </c>
      <c r="T6" s="293"/>
      <c r="U6" s="294"/>
      <c r="V6" s="292" t="s">
        <v>83</v>
      </c>
      <c r="W6" s="293"/>
      <c r="X6" s="294"/>
      <c r="Y6" s="292" t="s">
        <v>84</v>
      </c>
      <c r="Z6" s="293"/>
      <c r="AA6" s="294"/>
      <c r="AB6" s="292" t="s">
        <v>85</v>
      </c>
      <c r="AC6" s="293"/>
      <c r="AD6" s="294"/>
      <c r="AE6" s="292" t="s">
        <v>86</v>
      </c>
      <c r="AF6" s="293"/>
      <c r="AG6" s="294"/>
      <c r="AH6" s="292" t="s">
        <v>87</v>
      </c>
      <c r="AI6" s="293"/>
      <c r="AJ6" s="294"/>
      <c r="AK6" s="292" t="s">
        <v>88</v>
      </c>
      <c r="AL6" s="293"/>
      <c r="AM6" s="294"/>
      <c r="AN6" s="292" t="s">
        <v>89</v>
      </c>
      <c r="AO6" s="293"/>
      <c r="AP6" s="294"/>
      <c r="AQ6" s="292" t="s">
        <v>90</v>
      </c>
      <c r="AR6" s="293"/>
      <c r="AS6" s="294"/>
      <c r="AT6" s="292" t="s">
        <v>91</v>
      </c>
      <c r="AU6" s="293"/>
      <c r="AV6" s="294"/>
      <c r="AW6" s="292" t="s">
        <v>92</v>
      </c>
      <c r="AX6" s="293"/>
      <c r="AY6" s="294"/>
      <c r="AZ6" s="292" t="s">
        <v>93</v>
      </c>
      <c r="BA6" s="293"/>
      <c r="BB6" s="294"/>
      <c r="BC6" s="292" t="s">
        <v>94</v>
      </c>
      <c r="BD6" s="293"/>
      <c r="BE6" s="294"/>
      <c r="BF6" s="292" t="s">
        <v>95</v>
      </c>
      <c r="BG6" s="293"/>
      <c r="BH6" s="294"/>
      <c r="BI6" s="292" t="s">
        <v>96</v>
      </c>
      <c r="BJ6" s="293"/>
      <c r="BK6" s="294"/>
      <c r="BL6" s="292" t="s">
        <v>97</v>
      </c>
      <c r="BM6" s="293"/>
      <c r="BN6" s="294"/>
      <c r="BO6" s="292" t="s">
        <v>98</v>
      </c>
      <c r="BP6" s="293"/>
      <c r="BQ6" s="294"/>
      <c r="BR6" s="292" t="s">
        <v>99</v>
      </c>
      <c r="BS6" s="293"/>
      <c r="BT6" s="294"/>
      <c r="BU6" s="292" t="s">
        <v>100</v>
      </c>
      <c r="BV6" s="293"/>
      <c r="BW6" s="294"/>
      <c r="BX6" s="292" t="s">
        <v>101</v>
      </c>
      <c r="BY6" s="293"/>
      <c r="BZ6" s="294"/>
      <c r="CA6" s="292" t="s">
        <v>102</v>
      </c>
      <c r="CB6" s="293"/>
      <c r="CC6" s="294"/>
      <c r="CD6" s="292" t="s">
        <v>103</v>
      </c>
      <c r="CE6" s="293"/>
      <c r="CF6" s="294"/>
      <c r="CG6" s="292" t="s">
        <v>104</v>
      </c>
      <c r="CH6" s="293"/>
      <c r="CI6" s="294"/>
      <c r="CJ6" s="292" t="s">
        <v>105</v>
      </c>
      <c r="CK6" s="293"/>
      <c r="CL6" s="294"/>
      <c r="CM6" s="292" t="s">
        <v>106</v>
      </c>
      <c r="CN6" s="293"/>
      <c r="CO6" s="294"/>
      <c r="CP6" s="309" t="s">
        <v>107</v>
      </c>
      <c r="CQ6" s="310"/>
      <c r="CR6" s="311"/>
      <c r="CS6" s="292" t="s">
        <v>108</v>
      </c>
      <c r="CT6" s="293"/>
      <c r="CU6" s="294"/>
      <c r="CV6" s="307" t="s">
        <v>109</v>
      </c>
      <c r="CW6" s="302" t="s">
        <v>110</v>
      </c>
      <c r="CX6" s="303"/>
      <c r="CY6" s="303"/>
      <c r="CZ6" s="303"/>
      <c r="DA6" s="304"/>
      <c r="DB6" s="305" t="s">
        <v>111</v>
      </c>
      <c r="DC6" s="305" t="s">
        <v>112</v>
      </c>
      <c r="DD6" s="305" t="s">
        <v>113</v>
      </c>
      <c r="DE6" s="307" t="s">
        <v>55</v>
      </c>
      <c r="DF6" s="300" t="s">
        <v>114</v>
      </c>
      <c r="DG6" s="300" t="s">
        <v>128</v>
      </c>
    </row>
    <row r="7" spans="1:111" s="88" customFormat="1" ht="71.25" x14ac:dyDescent="0.25">
      <c r="A7" s="296"/>
      <c r="B7" s="298"/>
      <c r="C7" s="298"/>
      <c r="D7" s="298"/>
      <c r="E7" s="298"/>
      <c r="F7" s="298"/>
      <c r="G7" s="89" t="s">
        <v>115</v>
      </c>
      <c r="H7" s="89" t="s">
        <v>116</v>
      </c>
      <c r="I7" s="112" t="s">
        <v>117</v>
      </c>
      <c r="J7" s="89" t="s">
        <v>115</v>
      </c>
      <c r="K7" s="89" t="s">
        <v>116</v>
      </c>
      <c r="L7" s="112" t="s">
        <v>117</v>
      </c>
      <c r="M7" s="89" t="s">
        <v>115</v>
      </c>
      <c r="N7" s="89" t="s">
        <v>116</v>
      </c>
      <c r="O7" s="112" t="s">
        <v>118</v>
      </c>
      <c r="P7" s="89" t="s">
        <v>115</v>
      </c>
      <c r="Q7" s="89" t="s">
        <v>116</v>
      </c>
      <c r="R7" s="112" t="s">
        <v>118</v>
      </c>
      <c r="S7" s="89" t="s">
        <v>115</v>
      </c>
      <c r="T7" s="89" t="s">
        <v>116</v>
      </c>
      <c r="U7" s="112" t="s">
        <v>118</v>
      </c>
      <c r="V7" s="89" t="s">
        <v>115</v>
      </c>
      <c r="W7" s="89" t="s">
        <v>116</v>
      </c>
      <c r="X7" s="112" t="s">
        <v>118</v>
      </c>
      <c r="Y7" s="89" t="s">
        <v>115</v>
      </c>
      <c r="Z7" s="89" t="s">
        <v>116</v>
      </c>
      <c r="AA7" s="209" t="s">
        <v>148</v>
      </c>
      <c r="AB7" s="89" t="s">
        <v>115</v>
      </c>
      <c r="AC7" s="89" t="s">
        <v>116</v>
      </c>
      <c r="AD7" s="112" t="s">
        <v>127</v>
      </c>
      <c r="AE7" s="89" t="s">
        <v>115</v>
      </c>
      <c r="AF7" s="89" t="s">
        <v>116</v>
      </c>
      <c r="AG7" s="112" t="s">
        <v>117</v>
      </c>
      <c r="AH7" s="89" t="s">
        <v>115</v>
      </c>
      <c r="AI7" s="89" t="s">
        <v>116</v>
      </c>
      <c r="AJ7" s="112" t="s">
        <v>117</v>
      </c>
      <c r="AK7" s="89" t="s">
        <v>115</v>
      </c>
      <c r="AL7" s="89" t="s">
        <v>116</v>
      </c>
      <c r="AM7" s="112" t="s">
        <v>117</v>
      </c>
      <c r="AN7" s="89" t="s">
        <v>115</v>
      </c>
      <c r="AO7" s="89" t="s">
        <v>116</v>
      </c>
      <c r="AP7" s="112" t="s">
        <v>117</v>
      </c>
      <c r="AQ7" s="89" t="s">
        <v>115</v>
      </c>
      <c r="AR7" s="89" t="s">
        <v>116</v>
      </c>
      <c r="AS7" s="112" t="s">
        <v>117</v>
      </c>
      <c r="AT7" s="89" t="s">
        <v>115</v>
      </c>
      <c r="AU7" s="89" t="s">
        <v>116</v>
      </c>
      <c r="AV7" s="112" t="s">
        <v>117</v>
      </c>
      <c r="AW7" s="89" t="s">
        <v>115</v>
      </c>
      <c r="AX7" s="89" t="s">
        <v>116</v>
      </c>
      <c r="AY7" s="112" t="s">
        <v>118</v>
      </c>
      <c r="AZ7" s="89" t="s">
        <v>115</v>
      </c>
      <c r="BA7" s="89" t="s">
        <v>116</v>
      </c>
      <c r="BB7" s="112" t="s">
        <v>117</v>
      </c>
      <c r="BC7" s="89" t="s">
        <v>115</v>
      </c>
      <c r="BD7" s="89" t="s">
        <v>116</v>
      </c>
      <c r="BE7" s="112" t="s">
        <v>117</v>
      </c>
      <c r="BF7" s="89" t="s">
        <v>115</v>
      </c>
      <c r="BG7" s="89" t="s">
        <v>116</v>
      </c>
      <c r="BH7" s="112" t="s">
        <v>117</v>
      </c>
      <c r="BI7" s="89" t="s">
        <v>115</v>
      </c>
      <c r="BJ7" s="89" t="s">
        <v>116</v>
      </c>
      <c r="BK7" s="112" t="s">
        <v>117</v>
      </c>
      <c r="BL7" s="89" t="s">
        <v>115</v>
      </c>
      <c r="BM7" s="89" t="s">
        <v>116</v>
      </c>
      <c r="BN7" s="112" t="s">
        <v>117</v>
      </c>
      <c r="BO7" s="89" t="s">
        <v>115</v>
      </c>
      <c r="BP7" s="89" t="s">
        <v>116</v>
      </c>
      <c r="BQ7" s="112" t="s">
        <v>117</v>
      </c>
      <c r="BR7" s="89" t="s">
        <v>115</v>
      </c>
      <c r="BS7" s="89" t="s">
        <v>116</v>
      </c>
      <c r="BT7" s="112" t="s">
        <v>117</v>
      </c>
      <c r="BU7" s="89" t="s">
        <v>115</v>
      </c>
      <c r="BV7" s="89" t="s">
        <v>116</v>
      </c>
      <c r="BW7" s="112" t="s">
        <v>117</v>
      </c>
      <c r="BX7" s="89" t="s">
        <v>115</v>
      </c>
      <c r="BY7" s="89" t="s">
        <v>116</v>
      </c>
      <c r="BZ7" s="112" t="s">
        <v>117</v>
      </c>
      <c r="CA7" s="89" t="s">
        <v>115</v>
      </c>
      <c r="CB7" s="89" t="s">
        <v>116</v>
      </c>
      <c r="CC7" s="112" t="s">
        <v>117</v>
      </c>
      <c r="CD7" s="89" t="s">
        <v>115</v>
      </c>
      <c r="CE7" s="89" t="s">
        <v>116</v>
      </c>
      <c r="CF7" s="112" t="s">
        <v>117</v>
      </c>
      <c r="CG7" s="89" t="s">
        <v>115</v>
      </c>
      <c r="CH7" s="89" t="s">
        <v>116</v>
      </c>
      <c r="CI7" s="209" t="s">
        <v>117</v>
      </c>
      <c r="CJ7" s="89" t="s">
        <v>115</v>
      </c>
      <c r="CK7" s="89" t="s">
        <v>116</v>
      </c>
      <c r="CL7" s="209" t="s">
        <v>117</v>
      </c>
      <c r="CM7" s="89" t="s">
        <v>115</v>
      </c>
      <c r="CN7" s="89" t="s">
        <v>116</v>
      </c>
      <c r="CO7" s="209" t="s">
        <v>117</v>
      </c>
      <c r="CP7" s="229" t="s">
        <v>115</v>
      </c>
      <c r="CQ7" s="229" t="s">
        <v>116</v>
      </c>
      <c r="CR7" s="230" t="s">
        <v>117</v>
      </c>
      <c r="CS7" s="89" t="s">
        <v>115</v>
      </c>
      <c r="CT7" s="89" t="s">
        <v>116</v>
      </c>
      <c r="CU7" s="209" t="s">
        <v>117</v>
      </c>
      <c r="CV7" s="308"/>
      <c r="CW7" s="90" t="s">
        <v>119</v>
      </c>
      <c r="CX7" s="90" t="s">
        <v>120</v>
      </c>
      <c r="CY7" s="90" t="s">
        <v>121</v>
      </c>
      <c r="CZ7" s="90" t="s">
        <v>122</v>
      </c>
      <c r="DA7" s="90" t="s">
        <v>123</v>
      </c>
      <c r="DB7" s="306"/>
      <c r="DC7" s="306"/>
      <c r="DD7" s="306"/>
      <c r="DE7" s="308"/>
      <c r="DF7" s="301"/>
      <c r="DG7" s="301"/>
    </row>
    <row r="8" spans="1:111" s="130" customFormat="1" x14ac:dyDescent="0.25">
      <c r="A8" s="147">
        <f>ROW()-7</f>
        <v>1</v>
      </c>
      <c r="B8" s="123" t="s">
        <v>26</v>
      </c>
      <c r="C8" s="124" t="s">
        <v>27</v>
      </c>
      <c r="D8" s="124" t="s">
        <v>25</v>
      </c>
      <c r="E8" s="124" t="s">
        <v>150</v>
      </c>
      <c r="F8" s="139" t="s">
        <v>146</v>
      </c>
      <c r="G8" s="122"/>
      <c r="H8" s="122"/>
      <c r="I8" s="122">
        <v>0</v>
      </c>
      <c r="J8" s="122"/>
      <c r="K8" s="122"/>
      <c r="L8" s="122">
        <v>0</v>
      </c>
      <c r="M8" s="122"/>
      <c r="N8" s="122"/>
      <c r="O8" s="122">
        <v>0</v>
      </c>
      <c r="P8" s="122"/>
      <c r="Q8" s="122"/>
      <c r="R8" s="122">
        <v>0</v>
      </c>
      <c r="S8" s="122"/>
      <c r="T8" s="122"/>
      <c r="U8" s="122">
        <v>0</v>
      </c>
      <c r="V8" s="122"/>
      <c r="W8" s="122"/>
      <c r="X8" s="122">
        <v>0</v>
      </c>
      <c r="Y8" s="210"/>
      <c r="Z8" s="210"/>
      <c r="AA8" s="210">
        <v>0</v>
      </c>
      <c r="AB8" s="122"/>
      <c r="AC8" s="122"/>
      <c r="AD8" s="131">
        <v>0</v>
      </c>
      <c r="AE8" s="131"/>
      <c r="AF8" s="131"/>
      <c r="AG8" s="131">
        <v>0</v>
      </c>
      <c r="AH8" s="131"/>
      <c r="AI8" s="131"/>
      <c r="AJ8" s="135">
        <v>0</v>
      </c>
      <c r="AK8" s="134"/>
      <c r="AL8" s="134"/>
      <c r="AM8" s="131">
        <v>0</v>
      </c>
      <c r="AN8" s="127"/>
      <c r="AO8" s="127"/>
      <c r="AP8" s="122">
        <v>0</v>
      </c>
      <c r="AQ8" s="127"/>
      <c r="AR8" s="127"/>
      <c r="AS8" s="125">
        <v>0</v>
      </c>
      <c r="AT8" s="126"/>
      <c r="AU8" s="126"/>
      <c r="AV8" s="122">
        <v>0</v>
      </c>
      <c r="AW8" s="126"/>
      <c r="AX8" s="126"/>
      <c r="AY8" s="122">
        <v>0</v>
      </c>
      <c r="AZ8" s="126"/>
      <c r="BA8" s="126"/>
      <c r="BB8" s="122">
        <v>0</v>
      </c>
      <c r="BC8" s="126">
        <v>15</v>
      </c>
      <c r="BD8" s="126">
        <v>19</v>
      </c>
      <c r="BE8" s="122">
        <v>4</v>
      </c>
      <c r="BF8" s="127"/>
      <c r="BG8" s="127"/>
      <c r="BH8" s="122">
        <v>0</v>
      </c>
      <c r="BI8" s="126"/>
      <c r="BJ8" s="126"/>
      <c r="BK8" s="122">
        <v>0</v>
      </c>
      <c r="BL8" s="126"/>
      <c r="BM8" s="126"/>
      <c r="BN8" s="122">
        <v>0</v>
      </c>
      <c r="BO8" s="126"/>
      <c r="BP8" s="126"/>
      <c r="BQ8" s="122">
        <f>BP8-BO8</f>
        <v>0</v>
      </c>
      <c r="BR8" s="126"/>
      <c r="BS8" s="126"/>
      <c r="BT8" s="122">
        <f>BS8-BR8</f>
        <v>0</v>
      </c>
      <c r="BU8" s="126"/>
      <c r="BV8" s="126"/>
      <c r="BW8" s="122">
        <f>BV8-BU8</f>
        <v>0</v>
      </c>
      <c r="BX8" s="127"/>
      <c r="BY8" s="127"/>
      <c r="BZ8" s="122">
        <f>BY8-BX8</f>
        <v>0</v>
      </c>
      <c r="CA8" s="127"/>
      <c r="CB8" s="127"/>
      <c r="CC8" s="122">
        <f>CB8-CA8</f>
        <v>0</v>
      </c>
      <c r="CD8" s="126"/>
      <c r="CE8" s="126"/>
      <c r="CF8" s="122">
        <f>CE8-CD8</f>
        <v>0</v>
      </c>
      <c r="CG8" s="210"/>
      <c r="CH8" s="210"/>
      <c r="CI8" s="210">
        <f>CH8-CG8</f>
        <v>0</v>
      </c>
      <c r="CJ8" s="210"/>
      <c r="CK8" s="210"/>
      <c r="CL8" s="210">
        <f>CK8-CJ8</f>
        <v>0</v>
      </c>
      <c r="CM8" s="210"/>
      <c r="CN8" s="210"/>
      <c r="CO8" s="210">
        <f>CN8-CM8</f>
        <v>0</v>
      </c>
      <c r="CP8" s="231"/>
      <c r="CQ8" s="231"/>
      <c r="CR8" s="231">
        <f>CQ8-CP8</f>
        <v>0</v>
      </c>
      <c r="CS8" s="210"/>
      <c r="CT8" s="210"/>
      <c r="CU8" s="210">
        <f>CT8-CS8</f>
        <v>0</v>
      </c>
      <c r="CV8" s="122"/>
      <c r="CW8" s="125">
        <f>I8+L8+O8+R8+U8+X8+AA8+AD8+AG8+AJ8+AM8+AP8+AS8+AV8+AY8+BB8+BE8+BH8+BK8+BN8+BQ8+BT8+BW8+BZ8+CC8+CF8+CI8+CL8+CO8+CR8+CU8-CV8</f>
        <v>4</v>
      </c>
      <c r="CX8" s="128"/>
      <c r="CY8" s="128"/>
      <c r="CZ8" s="135">
        <f>(CW8-CX8-CY8)</f>
        <v>4</v>
      </c>
      <c r="DA8" s="135">
        <f>CX8+CY8+(CZ8)</f>
        <v>4</v>
      </c>
      <c r="DB8" s="119">
        <f>DA8/8</f>
        <v>0.5</v>
      </c>
      <c r="DC8" s="119"/>
      <c r="DD8" s="119">
        <f>DB8-DC8</f>
        <v>0.5</v>
      </c>
      <c r="DE8" s="129" t="s">
        <v>155</v>
      </c>
      <c r="DF8" s="207">
        <f>CW8/8</f>
        <v>0.5</v>
      </c>
      <c r="DG8" s="207">
        <f>CZ8/8</f>
        <v>0.5</v>
      </c>
    </row>
    <row r="9" spans="1:111" s="130" customFormat="1" x14ac:dyDescent="0.25">
      <c r="A9" s="148">
        <f t="shared" ref="A9:A12" si="0">ROW()-7</f>
        <v>2</v>
      </c>
      <c r="B9" s="132"/>
      <c r="C9" s="133" t="str">
        <f>IF($B9="","",VLOOKUP($B9,#REF!,2,0))</f>
        <v/>
      </c>
      <c r="D9" s="133" t="str">
        <f>IF($B9="","",VLOOKUP($B9,#REF!,4,0))</f>
        <v/>
      </c>
      <c r="E9" s="133"/>
      <c r="F9" s="139"/>
      <c r="G9" s="134"/>
      <c r="H9" s="134"/>
      <c r="I9" s="131">
        <f t="shared" ref="I9" si="1">H9-G9</f>
        <v>0</v>
      </c>
      <c r="J9" s="134"/>
      <c r="K9" s="134"/>
      <c r="L9" s="131">
        <v>0</v>
      </c>
      <c r="M9" s="134"/>
      <c r="N9" s="134"/>
      <c r="O9" s="131">
        <v>0</v>
      </c>
      <c r="P9" s="134"/>
      <c r="Q9" s="134"/>
      <c r="R9" s="131">
        <v>0</v>
      </c>
      <c r="S9" s="134"/>
      <c r="T9" s="134"/>
      <c r="U9" s="131">
        <v>0</v>
      </c>
      <c r="V9" s="134"/>
      <c r="W9" s="134"/>
      <c r="X9" s="131">
        <v>0</v>
      </c>
      <c r="Y9" s="264"/>
      <c r="Z9" s="264"/>
      <c r="AA9" s="211">
        <v>0</v>
      </c>
      <c r="AB9" s="134"/>
      <c r="AC9" s="134"/>
      <c r="AD9" s="131">
        <v>0</v>
      </c>
      <c r="AE9" s="134"/>
      <c r="AF9" s="134"/>
      <c r="AG9" s="131">
        <v>0</v>
      </c>
      <c r="AH9" s="134"/>
      <c r="AI9" s="134"/>
      <c r="AJ9" s="135">
        <v>0</v>
      </c>
      <c r="AK9" s="134"/>
      <c r="AL9" s="134"/>
      <c r="AM9" s="131">
        <v>0</v>
      </c>
      <c r="AN9" s="136"/>
      <c r="AO9" s="136"/>
      <c r="AP9" s="131">
        <v>0</v>
      </c>
      <c r="AQ9" s="136"/>
      <c r="AR9" s="136"/>
      <c r="AS9" s="131">
        <v>0</v>
      </c>
      <c r="AT9" s="134"/>
      <c r="AU9" s="134"/>
      <c r="AV9" s="131">
        <v>0</v>
      </c>
      <c r="AW9" s="134"/>
      <c r="AX9" s="134"/>
      <c r="AY9" s="131">
        <v>0</v>
      </c>
      <c r="AZ9" s="134"/>
      <c r="BA9" s="134"/>
      <c r="BB9" s="131">
        <v>0</v>
      </c>
      <c r="BC9" s="136"/>
      <c r="BD9" s="136"/>
      <c r="BE9" s="131">
        <v>0</v>
      </c>
      <c r="BF9" s="136"/>
      <c r="BG9" s="136"/>
      <c r="BH9" s="131">
        <v>0</v>
      </c>
      <c r="BI9" s="134"/>
      <c r="BJ9" s="134"/>
      <c r="BK9" s="131">
        <v>0</v>
      </c>
      <c r="BL9" s="134"/>
      <c r="BM9" s="134"/>
      <c r="BN9" s="131">
        <v>0</v>
      </c>
      <c r="BO9" s="134"/>
      <c r="BP9" s="134"/>
      <c r="BQ9" s="131">
        <f t="shared" ref="BQ9:BQ12" si="2">BP9-BO9</f>
        <v>0</v>
      </c>
      <c r="BR9" s="134"/>
      <c r="BS9" s="134"/>
      <c r="BT9" s="131">
        <f t="shared" ref="BT9:BT12" si="3">BS9-BR9</f>
        <v>0</v>
      </c>
      <c r="BU9" s="134"/>
      <c r="BV9" s="134"/>
      <c r="BW9" s="131">
        <f>BV9-BU9</f>
        <v>0</v>
      </c>
      <c r="BX9" s="136"/>
      <c r="BY9" s="136"/>
      <c r="BZ9" s="131">
        <f>BY9-BX9</f>
        <v>0</v>
      </c>
      <c r="CA9" s="136"/>
      <c r="CB9" s="136"/>
      <c r="CC9" s="131">
        <f t="shared" ref="CC9:CC12" si="4">CB9-CA9</f>
        <v>0</v>
      </c>
      <c r="CD9" s="134"/>
      <c r="CE9" s="134"/>
      <c r="CF9" s="131">
        <f t="shared" ref="CF9:CF12" si="5">CE9-CD9</f>
        <v>0</v>
      </c>
      <c r="CG9" s="211"/>
      <c r="CH9" s="211"/>
      <c r="CI9" s="211">
        <f t="shared" ref="CI9:CI12" si="6">CH9-CG9</f>
        <v>0</v>
      </c>
      <c r="CJ9" s="211"/>
      <c r="CK9" s="211"/>
      <c r="CL9" s="211">
        <f t="shared" ref="CL9:CL12" si="7">CK9-CJ9</f>
        <v>0</v>
      </c>
      <c r="CM9" s="211"/>
      <c r="CN9" s="211"/>
      <c r="CO9" s="211">
        <f t="shared" ref="CO9:CO12" si="8">CN9-CM9</f>
        <v>0</v>
      </c>
      <c r="CP9" s="232"/>
      <c r="CQ9" s="232"/>
      <c r="CR9" s="232">
        <f t="shared" ref="CR9:CR12" si="9">CQ9-CP9</f>
        <v>0</v>
      </c>
      <c r="CS9" s="211"/>
      <c r="CT9" s="211"/>
      <c r="CU9" s="211">
        <f t="shared" ref="CU9:CU12" si="10">CT9-CS9</f>
        <v>0</v>
      </c>
      <c r="CV9" s="131"/>
      <c r="CW9" s="135">
        <f t="shared" ref="CW9:CW12" si="11">I9+L9+O9+R9+U9+X9+AA9+AD9+AG9+AJ9+AM9+AP9+AS9+AV9+AY9+BB9+BE9+BH9+BK9+BN9+BQ9+BT9+BW9+BZ9+CC9+CF9+CI9+CL9+CO9+CR9+CU9-CV9</f>
        <v>0</v>
      </c>
      <c r="CX9" s="137"/>
      <c r="CY9" s="137"/>
      <c r="CZ9" s="135">
        <f>(CW9-CX9-CY9)</f>
        <v>0</v>
      </c>
      <c r="DA9" s="135">
        <f t="shared" ref="DA9:DA12" si="12">CX9+CY9+(CZ9)</f>
        <v>0</v>
      </c>
      <c r="DB9" s="120">
        <f t="shared" ref="DB9:DB12" si="13">DA9/8</f>
        <v>0</v>
      </c>
      <c r="DC9" s="120"/>
      <c r="DD9" s="120">
        <f t="shared" ref="DD9:DD12" si="14">DB9-DC9</f>
        <v>0</v>
      </c>
      <c r="DE9" s="138"/>
      <c r="DF9" s="208">
        <f t="shared" ref="DF9:DF12" si="15">CW9/8</f>
        <v>0</v>
      </c>
      <c r="DG9" s="208">
        <f t="shared" ref="DG9:DG12" si="16">CZ9/8</f>
        <v>0</v>
      </c>
    </row>
    <row r="10" spans="1:111" s="130" customFormat="1" x14ac:dyDescent="0.25">
      <c r="A10" s="148">
        <f t="shared" si="0"/>
        <v>3</v>
      </c>
      <c r="B10" s="139"/>
      <c r="C10" s="140" t="str">
        <f>IF($B10="","",VLOOKUP($B10,#REF!,2,0))</f>
        <v/>
      </c>
      <c r="D10" s="140" t="str">
        <f>IF($B10="","",VLOOKUP($B10,#REF!,4,0))</f>
        <v/>
      </c>
      <c r="E10" s="133"/>
      <c r="F10" s="139"/>
      <c r="G10" s="131"/>
      <c r="H10" s="131"/>
      <c r="I10" s="131">
        <v>0</v>
      </c>
      <c r="J10" s="131"/>
      <c r="K10" s="131"/>
      <c r="L10" s="131">
        <v>0</v>
      </c>
      <c r="M10" s="131"/>
      <c r="N10" s="131"/>
      <c r="O10" s="131">
        <v>0</v>
      </c>
      <c r="P10" s="131"/>
      <c r="Q10" s="131"/>
      <c r="R10" s="131">
        <v>0</v>
      </c>
      <c r="S10" s="131"/>
      <c r="T10" s="131"/>
      <c r="U10" s="131">
        <v>0</v>
      </c>
      <c r="V10" s="131"/>
      <c r="W10" s="131"/>
      <c r="X10" s="131">
        <v>0</v>
      </c>
      <c r="Y10" s="211"/>
      <c r="Z10" s="211"/>
      <c r="AA10" s="211">
        <v>0</v>
      </c>
      <c r="AB10" s="131"/>
      <c r="AC10" s="131"/>
      <c r="AD10" s="131">
        <v>0</v>
      </c>
      <c r="AE10" s="131"/>
      <c r="AF10" s="131"/>
      <c r="AG10" s="131">
        <v>0</v>
      </c>
      <c r="AH10" s="131"/>
      <c r="AI10" s="131"/>
      <c r="AJ10" s="135">
        <v>0</v>
      </c>
      <c r="AK10" s="134"/>
      <c r="AL10" s="134"/>
      <c r="AM10" s="131">
        <v>0</v>
      </c>
      <c r="AN10" s="136"/>
      <c r="AO10" s="136"/>
      <c r="AP10" s="131">
        <v>0</v>
      </c>
      <c r="AQ10" s="136"/>
      <c r="AR10" s="136"/>
      <c r="AS10" s="131">
        <v>0</v>
      </c>
      <c r="AT10" s="134"/>
      <c r="AU10" s="134"/>
      <c r="AV10" s="131">
        <v>0</v>
      </c>
      <c r="AW10" s="134"/>
      <c r="AX10" s="134"/>
      <c r="AY10" s="131">
        <v>0</v>
      </c>
      <c r="AZ10" s="134"/>
      <c r="BA10" s="134"/>
      <c r="BB10" s="131">
        <v>0</v>
      </c>
      <c r="BC10" s="136"/>
      <c r="BD10" s="136"/>
      <c r="BE10" s="131">
        <v>0</v>
      </c>
      <c r="BF10" s="136"/>
      <c r="BG10" s="136"/>
      <c r="BH10" s="131">
        <v>0</v>
      </c>
      <c r="BI10" s="134"/>
      <c r="BJ10" s="134"/>
      <c r="BK10" s="131">
        <v>0</v>
      </c>
      <c r="BL10" s="134"/>
      <c r="BM10" s="134"/>
      <c r="BN10" s="131">
        <v>0</v>
      </c>
      <c r="BO10" s="134"/>
      <c r="BP10" s="134"/>
      <c r="BQ10" s="131">
        <f t="shared" si="2"/>
        <v>0</v>
      </c>
      <c r="BR10" s="134"/>
      <c r="BS10" s="134"/>
      <c r="BT10" s="131">
        <f t="shared" si="3"/>
        <v>0</v>
      </c>
      <c r="BU10" s="134"/>
      <c r="BV10" s="134"/>
      <c r="BW10" s="131">
        <f t="shared" ref="BW10:BW12" si="17">BV10-BU10</f>
        <v>0</v>
      </c>
      <c r="BX10" s="136"/>
      <c r="BY10" s="136"/>
      <c r="BZ10" s="131">
        <f t="shared" ref="BZ10:BZ12" si="18">BY10-BX10</f>
        <v>0</v>
      </c>
      <c r="CA10" s="136"/>
      <c r="CB10" s="136"/>
      <c r="CC10" s="131">
        <f t="shared" si="4"/>
        <v>0</v>
      </c>
      <c r="CD10" s="134"/>
      <c r="CE10" s="134"/>
      <c r="CF10" s="131">
        <f t="shared" si="5"/>
        <v>0</v>
      </c>
      <c r="CG10" s="211"/>
      <c r="CH10" s="211"/>
      <c r="CI10" s="211">
        <f t="shared" si="6"/>
        <v>0</v>
      </c>
      <c r="CJ10" s="211"/>
      <c r="CK10" s="211"/>
      <c r="CL10" s="211">
        <f t="shared" si="7"/>
        <v>0</v>
      </c>
      <c r="CM10" s="211"/>
      <c r="CN10" s="211"/>
      <c r="CO10" s="211">
        <f t="shared" si="8"/>
        <v>0</v>
      </c>
      <c r="CP10" s="232"/>
      <c r="CQ10" s="232"/>
      <c r="CR10" s="232">
        <f t="shared" si="9"/>
        <v>0</v>
      </c>
      <c r="CS10" s="211"/>
      <c r="CT10" s="211"/>
      <c r="CU10" s="211">
        <f t="shared" si="10"/>
        <v>0</v>
      </c>
      <c r="CV10" s="131"/>
      <c r="CW10" s="135">
        <f t="shared" si="11"/>
        <v>0</v>
      </c>
      <c r="CX10" s="137"/>
      <c r="CY10" s="137"/>
      <c r="CZ10" s="135">
        <f t="shared" ref="CZ10:CZ12" si="19">(CW10-CX10-CY10)</f>
        <v>0</v>
      </c>
      <c r="DA10" s="135">
        <f t="shared" si="12"/>
        <v>0</v>
      </c>
      <c r="DB10" s="120">
        <f t="shared" si="13"/>
        <v>0</v>
      </c>
      <c r="DC10" s="120"/>
      <c r="DD10" s="120">
        <f t="shared" si="14"/>
        <v>0</v>
      </c>
      <c r="DE10" s="138"/>
      <c r="DF10" s="208">
        <f t="shared" si="15"/>
        <v>0</v>
      </c>
      <c r="DG10" s="208">
        <f t="shared" si="16"/>
        <v>0</v>
      </c>
    </row>
    <row r="11" spans="1:111" s="130" customFormat="1" x14ac:dyDescent="0.25">
      <c r="A11" s="148">
        <f t="shared" si="0"/>
        <v>4</v>
      </c>
      <c r="B11" s="139"/>
      <c r="C11" s="140" t="str">
        <f>IF($B11="","",VLOOKUP($B11,#REF!,2,0))</f>
        <v/>
      </c>
      <c r="D11" s="140" t="str">
        <f>IF($B11="","",VLOOKUP($B11,#REF!,4,0))</f>
        <v/>
      </c>
      <c r="E11" s="133"/>
      <c r="F11" s="139"/>
      <c r="G11" s="131"/>
      <c r="H11" s="131"/>
      <c r="I11" s="131">
        <v>0</v>
      </c>
      <c r="J11" s="131"/>
      <c r="K11" s="131"/>
      <c r="L11" s="131">
        <v>0</v>
      </c>
      <c r="M11" s="131"/>
      <c r="N11" s="131"/>
      <c r="O11" s="131">
        <v>0</v>
      </c>
      <c r="P11" s="131"/>
      <c r="Q11" s="131"/>
      <c r="R11" s="131">
        <v>0</v>
      </c>
      <c r="S11" s="131"/>
      <c r="T11" s="131"/>
      <c r="U11" s="131">
        <v>0</v>
      </c>
      <c r="V11" s="131"/>
      <c r="W11" s="131"/>
      <c r="X11" s="131">
        <v>0</v>
      </c>
      <c r="Y11" s="211"/>
      <c r="Z11" s="211"/>
      <c r="AA11" s="211">
        <v>0</v>
      </c>
      <c r="AB11" s="131"/>
      <c r="AC11" s="131"/>
      <c r="AD11" s="131">
        <v>0</v>
      </c>
      <c r="AE11" s="131"/>
      <c r="AF11" s="131"/>
      <c r="AG11" s="131">
        <v>0</v>
      </c>
      <c r="AH11" s="131"/>
      <c r="AI11" s="131"/>
      <c r="AJ11" s="135">
        <v>0</v>
      </c>
      <c r="AK11" s="134"/>
      <c r="AL11" s="134"/>
      <c r="AM11" s="131">
        <v>0</v>
      </c>
      <c r="AN11" s="136"/>
      <c r="AO11" s="136"/>
      <c r="AP11" s="131">
        <v>0</v>
      </c>
      <c r="AQ11" s="136"/>
      <c r="AR11" s="136"/>
      <c r="AS11" s="135">
        <v>0</v>
      </c>
      <c r="AT11" s="134"/>
      <c r="AU11" s="134"/>
      <c r="AV11" s="131">
        <v>0</v>
      </c>
      <c r="AW11" s="134"/>
      <c r="AX11" s="134"/>
      <c r="AY11" s="131">
        <v>0</v>
      </c>
      <c r="AZ11" s="134"/>
      <c r="BA11" s="134"/>
      <c r="BB11" s="131">
        <v>0</v>
      </c>
      <c r="BC11" s="136"/>
      <c r="BD11" s="136"/>
      <c r="BE11" s="131">
        <v>0</v>
      </c>
      <c r="BF11" s="136"/>
      <c r="BG11" s="136"/>
      <c r="BH11" s="131">
        <v>0</v>
      </c>
      <c r="BI11" s="134"/>
      <c r="BJ11" s="134"/>
      <c r="BK11" s="131">
        <v>0</v>
      </c>
      <c r="BL11" s="134"/>
      <c r="BM11" s="134"/>
      <c r="BN11" s="131">
        <v>0</v>
      </c>
      <c r="BO11" s="134"/>
      <c r="BP11" s="134"/>
      <c r="BQ11" s="131">
        <f t="shared" si="2"/>
        <v>0</v>
      </c>
      <c r="BR11" s="134"/>
      <c r="BS11" s="134"/>
      <c r="BT11" s="131">
        <f t="shared" si="3"/>
        <v>0</v>
      </c>
      <c r="BU11" s="134"/>
      <c r="BV11" s="134"/>
      <c r="BW11" s="131">
        <f t="shared" si="17"/>
        <v>0</v>
      </c>
      <c r="BX11" s="136"/>
      <c r="BY11" s="136"/>
      <c r="BZ11" s="131">
        <f t="shared" si="18"/>
        <v>0</v>
      </c>
      <c r="CA11" s="136"/>
      <c r="CB11" s="136"/>
      <c r="CC11" s="131">
        <f t="shared" si="4"/>
        <v>0</v>
      </c>
      <c r="CD11" s="134"/>
      <c r="CE11" s="134"/>
      <c r="CF11" s="131">
        <f t="shared" si="5"/>
        <v>0</v>
      </c>
      <c r="CG11" s="211"/>
      <c r="CH11" s="211"/>
      <c r="CI11" s="211">
        <f t="shared" si="6"/>
        <v>0</v>
      </c>
      <c r="CJ11" s="211"/>
      <c r="CK11" s="211"/>
      <c r="CL11" s="211">
        <f t="shared" si="7"/>
        <v>0</v>
      </c>
      <c r="CM11" s="211"/>
      <c r="CN11" s="211"/>
      <c r="CO11" s="211">
        <f t="shared" si="8"/>
        <v>0</v>
      </c>
      <c r="CP11" s="232"/>
      <c r="CQ11" s="232"/>
      <c r="CR11" s="232">
        <f t="shared" si="9"/>
        <v>0</v>
      </c>
      <c r="CS11" s="211"/>
      <c r="CT11" s="211"/>
      <c r="CU11" s="211">
        <f t="shared" si="10"/>
        <v>0</v>
      </c>
      <c r="CV11" s="131"/>
      <c r="CW11" s="135">
        <f t="shared" si="11"/>
        <v>0</v>
      </c>
      <c r="CX11" s="137"/>
      <c r="CY11" s="137"/>
      <c r="CZ11" s="135">
        <f>(CW11-CX11-CY11)</f>
        <v>0</v>
      </c>
      <c r="DA11" s="135">
        <f t="shared" si="12"/>
        <v>0</v>
      </c>
      <c r="DB11" s="120">
        <f t="shared" si="13"/>
        <v>0</v>
      </c>
      <c r="DC11" s="120"/>
      <c r="DD11" s="120">
        <f t="shared" si="14"/>
        <v>0</v>
      </c>
      <c r="DE11" s="138"/>
      <c r="DF11" s="208">
        <f t="shared" si="15"/>
        <v>0</v>
      </c>
      <c r="DG11" s="208">
        <f t="shared" si="16"/>
        <v>0</v>
      </c>
    </row>
    <row r="12" spans="1:111" s="130" customFormat="1" x14ac:dyDescent="0.25">
      <c r="A12" s="148">
        <f t="shared" si="0"/>
        <v>5</v>
      </c>
      <c r="B12" s="139"/>
      <c r="C12" s="140" t="str">
        <f>IF($B12="","",VLOOKUP($B12,#REF!,2,0))</f>
        <v/>
      </c>
      <c r="D12" s="140" t="str">
        <f>IF($B12="","",VLOOKUP($B12,#REF!,4,0))</f>
        <v/>
      </c>
      <c r="E12" s="133"/>
      <c r="F12" s="139"/>
      <c r="G12" s="131"/>
      <c r="H12" s="131"/>
      <c r="I12" s="131">
        <v>0</v>
      </c>
      <c r="J12" s="131"/>
      <c r="K12" s="131"/>
      <c r="L12" s="131">
        <v>0</v>
      </c>
      <c r="M12" s="131"/>
      <c r="N12" s="131"/>
      <c r="O12" s="131">
        <v>0</v>
      </c>
      <c r="P12" s="131"/>
      <c r="Q12" s="131"/>
      <c r="R12" s="131">
        <v>0</v>
      </c>
      <c r="S12" s="131"/>
      <c r="T12" s="131"/>
      <c r="U12" s="131">
        <v>0</v>
      </c>
      <c r="V12" s="131"/>
      <c r="W12" s="131"/>
      <c r="X12" s="131">
        <v>0</v>
      </c>
      <c r="Y12" s="211"/>
      <c r="Z12" s="211"/>
      <c r="AA12" s="211">
        <v>0</v>
      </c>
      <c r="AB12" s="131"/>
      <c r="AC12" s="131"/>
      <c r="AD12" s="131">
        <v>0</v>
      </c>
      <c r="AE12" s="131"/>
      <c r="AF12" s="131"/>
      <c r="AG12" s="131">
        <v>0</v>
      </c>
      <c r="AH12" s="131"/>
      <c r="AI12" s="131"/>
      <c r="AJ12" s="135">
        <v>0</v>
      </c>
      <c r="AK12" s="134"/>
      <c r="AL12" s="134"/>
      <c r="AM12" s="131">
        <v>0</v>
      </c>
      <c r="AN12" s="136"/>
      <c r="AO12" s="136"/>
      <c r="AP12" s="131">
        <v>0</v>
      </c>
      <c r="AQ12" s="136"/>
      <c r="AR12" s="136"/>
      <c r="AS12" s="135">
        <v>0</v>
      </c>
      <c r="AT12" s="134"/>
      <c r="AU12" s="134"/>
      <c r="AV12" s="131">
        <v>0</v>
      </c>
      <c r="AW12" s="134"/>
      <c r="AX12" s="134"/>
      <c r="AY12" s="131">
        <v>0</v>
      </c>
      <c r="AZ12" s="134"/>
      <c r="BA12" s="134"/>
      <c r="BB12" s="131">
        <v>0</v>
      </c>
      <c r="BC12" s="136"/>
      <c r="BD12" s="136"/>
      <c r="BE12" s="131">
        <v>0</v>
      </c>
      <c r="BF12" s="136"/>
      <c r="BG12" s="136"/>
      <c r="BH12" s="131">
        <v>0</v>
      </c>
      <c r="BI12" s="134"/>
      <c r="BJ12" s="134"/>
      <c r="BK12" s="131">
        <v>0</v>
      </c>
      <c r="BL12" s="134"/>
      <c r="BM12" s="134"/>
      <c r="BN12" s="131">
        <v>0</v>
      </c>
      <c r="BO12" s="134"/>
      <c r="BP12" s="134"/>
      <c r="BQ12" s="131">
        <f t="shared" si="2"/>
        <v>0</v>
      </c>
      <c r="BR12" s="134"/>
      <c r="BS12" s="134"/>
      <c r="BT12" s="131">
        <f t="shared" si="3"/>
        <v>0</v>
      </c>
      <c r="BU12" s="134"/>
      <c r="BV12" s="134"/>
      <c r="BW12" s="131">
        <f t="shared" si="17"/>
        <v>0</v>
      </c>
      <c r="BX12" s="136"/>
      <c r="BY12" s="136"/>
      <c r="BZ12" s="131">
        <f t="shared" si="18"/>
        <v>0</v>
      </c>
      <c r="CA12" s="136"/>
      <c r="CB12" s="136"/>
      <c r="CC12" s="131">
        <f t="shared" si="4"/>
        <v>0</v>
      </c>
      <c r="CD12" s="134"/>
      <c r="CE12" s="134"/>
      <c r="CF12" s="131">
        <f t="shared" si="5"/>
        <v>0</v>
      </c>
      <c r="CG12" s="211"/>
      <c r="CH12" s="211"/>
      <c r="CI12" s="211">
        <f t="shared" si="6"/>
        <v>0</v>
      </c>
      <c r="CJ12" s="211"/>
      <c r="CK12" s="211"/>
      <c r="CL12" s="211">
        <f t="shared" si="7"/>
        <v>0</v>
      </c>
      <c r="CM12" s="211"/>
      <c r="CN12" s="211"/>
      <c r="CO12" s="211">
        <f t="shared" si="8"/>
        <v>0</v>
      </c>
      <c r="CP12" s="232"/>
      <c r="CQ12" s="232"/>
      <c r="CR12" s="232">
        <f t="shared" si="9"/>
        <v>0</v>
      </c>
      <c r="CS12" s="211"/>
      <c r="CT12" s="211"/>
      <c r="CU12" s="211">
        <f t="shared" si="10"/>
        <v>0</v>
      </c>
      <c r="CV12" s="131"/>
      <c r="CW12" s="135">
        <f t="shared" si="11"/>
        <v>0</v>
      </c>
      <c r="CX12" s="137"/>
      <c r="CY12" s="137"/>
      <c r="CZ12" s="135">
        <f t="shared" si="19"/>
        <v>0</v>
      </c>
      <c r="DA12" s="135">
        <f t="shared" si="12"/>
        <v>0</v>
      </c>
      <c r="DB12" s="120">
        <f t="shared" si="13"/>
        <v>0</v>
      </c>
      <c r="DC12" s="120"/>
      <c r="DD12" s="120">
        <f t="shared" si="14"/>
        <v>0</v>
      </c>
      <c r="DE12" s="138"/>
      <c r="DF12" s="208">
        <f t="shared" si="15"/>
        <v>0</v>
      </c>
      <c r="DG12" s="208">
        <f t="shared" si="16"/>
        <v>0</v>
      </c>
    </row>
    <row r="13" spans="1:111" s="130" customFormat="1" x14ac:dyDescent="0.25">
      <c r="A13" s="249"/>
      <c r="B13" s="250"/>
      <c r="C13" s="251"/>
      <c r="D13" s="251"/>
      <c r="E13" s="251"/>
      <c r="F13" s="252"/>
      <c r="G13" s="253"/>
      <c r="H13" s="253"/>
      <c r="I13" s="253"/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8"/>
      <c r="Z13" s="258"/>
      <c r="AA13" s="258"/>
      <c r="AB13" s="253"/>
      <c r="AC13" s="253"/>
      <c r="AD13" s="253"/>
      <c r="AE13" s="253"/>
      <c r="AF13" s="253"/>
      <c r="AG13" s="253"/>
      <c r="AH13" s="131"/>
      <c r="AI13" s="131"/>
      <c r="AJ13" s="135">
        <f t="shared" ref="AJ13" si="20">AI13-AH13</f>
        <v>0</v>
      </c>
      <c r="AK13" s="256"/>
      <c r="AL13" s="256"/>
      <c r="AM13" s="253"/>
      <c r="AN13" s="257"/>
      <c r="AO13" s="257"/>
      <c r="AP13" s="253"/>
      <c r="AQ13" s="257"/>
      <c r="AR13" s="257"/>
      <c r="AS13" s="255"/>
      <c r="AT13" s="256"/>
      <c r="AU13" s="256"/>
      <c r="AV13" s="256"/>
      <c r="AW13" s="256"/>
      <c r="AX13" s="256"/>
      <c r="AY13" s="256"/>
      <c r="AZ13" s="256"/>
      <c r="BA13" s="256"/>
      <c r="BB13" s="256"/>
      <c r="BC13" s="257"/>
      <c r="BD13" s="257"/>
      <c r="BE13" s="253"/>
      <c r="BF13" s="257"/>
      <c r="BG13" s="257"/>
      <c r="BH13" s="253"/>
      <c r="BI13" s="256"/>
      <c r="BJ13" s="256"/>
      <c r="BK13" s="253"/>
      <c r="BL13" s="256"/>
      <c r="BM13" s="256"/>
      <c r="BN13" s="253"/>
      <c r="BO13" s="256"/>
      <c r="BP13" s="256"/>
      <c r="BQ13" s="253"/>
      <c r="BR13" s="256"/>
      <c r="BS13" s="256"/>
      <c r="BT13" s="253"/>
      <c r="BU13" s="256"/>
      <c r="BV13" s="256"/>
      <c r="BW13" s="253"/>
      <c r="BX13" s="257"/>
      <c r="BY13" s="257"/>
      <c r="BZ13" s="253"/>
      <c r="CA13" s="136"/>
      <c r="CB13" s="136"/>
      <c r="CC13" s="131">
        <f t="shared" ref="CC13" si="21">CB13-CA13</f>
        <v>0</v>
      </c>
      <c r="CD13" s="256"/>
      <c r="CE13" s="256"/>
      <c r="CF13" s="253"/>
      <c r="CG13" s="258"/>
      <c r="CH13" s="258"/>
      <c r="CI13" s="258"/>
      <c r="CJ13" s="258"/>
      <c r="CK13" s="258"/>
      <c r="CL13" s="258"/>
      <c r="CM13" s="258"/>
      <c r="CN13" s="258"/>
      <c r="CO13" s="258"/>
      <c r="CP13" s="254"/>
      <c r="CQ13" s="254"/>
      <c r="CR13" s="254"/>
      <c r="CS13" s="258"/>
      <c r="CT13" s="258"/>
      <c r="CU13" s="258"/>
      <c r="CV13" s="256"/>
      <c r="CW13" s="255"/>
      <c r="CX13" s="259"/>
      <c r="CY13" s="259"/>
      <c r="CZ13" s="255"/>
      <c r="DA13" s="255"/>
      <c r="DB13" s="260"/>
      <c r="DC13" s="260"/>
      <c r="DD13" s="260"/>
      <c r="DE13" s="261"/>
      <c r="DF13" s="262"/>
      <c r="DG13" s="262"/>
    </row>
    <row r="14" spans="1:111" s="145" customFormat="1" ht="18.600000000000001" customHeight="1" x14ac:dyDescent="0.25">
      <c r="A14" s="141"/>
      <c r="B14" s="142"/>
      <c r="C14" s="143" t="s">
        <v>124</v>
      </c>
      <c r="D14" s="143"/>
      <c r="E14" s="143"/>
      <c r="F14" s="143"/>
      <c r="G14" s="143"/>
      <c r="H14" s="143"/>
      <c r="I14" s="143">
        <f>SUM(I8:I12)</f>
        <v>0</v>
      </c>
      <c r="J14" s="143"/>
      <c r="K14" s="143"/>
      <c r="L14" s="143">
        <f>SUM(L8:L12)</f>
        <v>0</v>
      </c>
      <c r="M14" s="143"/>
      <c r="N14" s="143"/>
      <c r="O14" s="143">
        <f>SUM(O8:O12)</f>
        <v>0</v>
      </c>
      <c r="P14" s="143"/>
      <c r="Q14" s="143"/>
      <c r="R14" s="143">
        <f>SUM(R8:R12)</f>
        <v>0</v>
      </c>
      <c r="S14" s="143"/>
      <c r="T14" s="143"/>
      <c r="U14" s="143">
        <f>SUM(U8:U12)</f>
        <v>0</v>
      </c>
      <c r="V14" s="143"/>
      <c r="W14" s="143"/>
      <c r="X14" s="143">
        <f>SUM(X8:X12)</f>
        <v>0</v>
      </c>
      <c r="Y14" s="212"/>
      <c r="Z14" s="212"/>
      <c r="AA14" s="212">
        <f>SUM(AA8:AA12)</f>
        <v>0</v>
      </c>
      <c r="AB14" s="143"/>
      <c r="AC14" s="143"/>
      <c r="AD14" s="143">
        <f>SUM(AD8:AD12)</f>
        <v>0</v>
      </c>
      <c r="AE14" s="143"/>
      <c r="AF14" s="143"/>
      <c r="AG14" s="143">
        <f>SUM(AG8:AG12)</f>
        <v>0</v>
      </c>
      <c r="AH14" s="143"/>
      <c r="AI14" s="143"/>
      <c r="AJ14" s="143">
        <f>SUM(AJ8:AJ12)</f>
        <v>0</v>
      </c>
      <c r="AK14" s="143"/>
      <c r="AL14" s="143"/>
      <c r="AM14" s="143">
        <f>SUM(AM8:AM12)</f>
        <v>0</v>
      </c>
      <c r="AN14" s="143"/>
      <c r="AO14" s="143"/>
      <c r="AP14" s="143">
        <f>SUM(AP8:AP12)</f>
        <v>0</v>
      </c>
      <c r="AQ14" s="143"/>
      <c r="AR14" s="143"/>
      <c r="AS14" s="143">
        <f>SUM(AS8:AS12)</f>
        <v>0</v>
      </c>
      <c r="AT14" s="143"/>
      <c r="AU14" s="143"/>
      <c r="AV14" s="143">
        <f>SUM(AV8:AV12)</f>
        <v>0</v>
      </c>
      <c r="AW14" s="143"/>
      <c r="AX14" s="143"/>
      <c r="AY14" s="143">
        <f>SUM(AY8:AY12)</f>
        <v>0</v>
      </c>
      <c r="AZ14" s="143"/>
      <c r="BA14" s="143"/>
      <c r="BB14" s="143">
        <f>SUM(BB8:BB12)</f>
        <v>0</v>
      </c>
      <c r="BC14" s="143"/>
      <c r="BD14" s="143"/>
      <c r="BE14" s="143">
        <f>SUM(BE8:BE12)</f>
        <v>4</v>
      </c>
      <c r="BF14" s="143"/>
      <c r="BG14" s="143"/>
      <c r="BH14" s="143">
        <f>SUM(BH8:BH12)</f>
        <v>0</v>
      </c>
      <c r="BI14" s="143"/>
      <c r="BJ14" s="143"/>
      <c r="BK14" s="143">
        <f>SUM(BK8:BK12)</f>
        <v>0</v>
      </c>
      <c r="BL14" s="143"/>
      <c r="BM14" s="143"/>
      <c r="BN14" s="143">
        <f>SUM(BN8:BN12)</f>
        <v>0</v>
      </c>
      <c r="BO14" s="143"/>
      <c r="BP14" s="143"/>
      <c r="BQ14" s="143">
        <f>SUM(BQ8:BQ12)</f>
        <v>0</v>
      </c>
      <c r="BR14" s="143"/>
      <c r="BS14" s="143"/>
      <c r="BT14" s="143">
        <f>SUM(BT8:BT12)</f>
        <v>0</v>
      </c>
      <c r="BU14" s="143"/>
      <c r="BV14" s="143"/>
      <c r="BW14" s="143">
        <f>SUM(BW8:BW12)</f>
        <v>0</v>
      </c>
      <c r="BX14" s="143"/>
      <c r="BY14" s="143"/>
      <c r="BZ14" s="143">
        <f>SUM(BZ8:BZ12)</f>
        <v>0</v>
      </c>
      <c r="CA14" s="143"/>
      <c r="CB14" s="143"/>
      <c r="CC14" s="143">
        <f>SUM(CC8:CC12)</f>
        <v>0</v>
      </c>
      <c r="CD14" s="143"/>
      <c r="CE14" s="143"/>
      <c r="CF14" s="143">
        <f>SUM(CF8:CF12)</f>
        <v>0</v>
      </c>
      <c r="CG14" s="212"/>
      <c r="CH14" s="212"/>
      <c r="CI14" s="212">
        <f>SUM(CI8:CI12)</f>
        <v>0</v>
      </c>
      <c r="CJ14" s="212"/>
      <c r="CK14" s="212"/>
      <c r="CL14" s="212">
        <f>SUM(CL8:CL12)</f>
        <v>0</v>
      </c>
      <c r="CM14" s="212"/>
      <c r="CN14" s="212"/>
      <c r="CO14" s="212">
        <f>SUM(CO8:CO12)</f>
        <v>0</v>
      </c>
      <c r="CP14" s="233"/>
      <c r="CQ14" s="233"/>
      <c r="CR14" s="233">
        <f>SUM(CR8:CR12)</f>
        <v>0</v>
      </c>
      <c r="CS14" s="212"/>
      <c r="CT14" s="212"/>
      <c r="CU14" s="212"/>
      <c r="CV14" s="143"/>
      <c r="CW14" s="143">
        <f t="shared" ref="CW14:DD14" si="22">SUM(CW8:CW12)</f>
        <v>4</v>
      </c>
      <c r="CX14" s="143">
        <f t="shared" si="22"/>
        <v>0</v>
      </c>
      <c r="CY14" s="143">
        <f t="shared" si="22"/>
        <v>0</v>
      </c>
      <c r="CZ14" s="143">
        <f t="shared" si="22"/>
        <v>4</v>
      </c>
      <c r="DA14" s="143">
        <f t="shared" si="22"/>
        <v>4</v>
      </c>
      <c r="DB14" s="113">
        <f t="shared" si="22"/>
        <v>0.5</v>
      </c>
      <c r="DC14" s="113">
        <f t="shared" si="22"/>
        <v>0</v>
      </c>
      <c r="DD14" s="113">
        <f t="shared" si="22"/>
        <v>0.5</v>
      </c>
      <c r="DE14" s="144"/>
      <c r="DF14" s="113">
        <f>SUM(DF8:DF12)</f>
        <v>0.5</v>
      </c>
      <c r="DG14" s="113">
        <f>SUM(DG8:DG12)</f>
        <v>0.5</v>
      </c>
    </row>
    <row r="15" spans="1:111" s="91" customFormat="1" x14ac:dyDescent="0.25">
      <c r="A15" s="92"/>
      <c r="B15" s="93"/>
      <c r="C15" s="94"/>
      <c r="D15" s="94"/>
      <c r="E15" s="94"/>
      <c r="F15" s="94"/>
      <c r="G15" s="95"/>
      <c r="H15" s="95"/>
      <c r="I15" s="114"/>
      <c r="J15" s="95"/>
      <c r="K15" s="95"/>
      <c r="L15" s="114"/>
      <c r="M15" s="95"/>
      <c r="N15" s="95"/>
      <c r="O15" s="114"/>
      <c r="P15" s="95"/>
      <c r="Q15" s="95"/>
      <c r="R15" s="114"/>
      <c r="S15" s="95"/>
      <c r="T15" s="95"/>
      <c r="U15" s="114"/>
      <c r="V15" s="95"/>
      <c r="W15" s="95"/>
      <c r="X15" s="114"/>
      <c r="Y15" s="95"/>
      <c r="Z15" s="95"/>
      <c r="AA15" s="213"/>
      <c r="AB15" s="95"/>
      <c r="AC15" s="95"/>
      <c r="AD15" s="114"/>
      <c r="AE15" s="95"/>
      <c r="AF15" s="95"/>
      <c r="AG15" s="114"/>
      <c r="AH15" s="95"/>
      <c r="AI15" s="95"/>
      <c r="AJ15" s="114"/>
      <c r="AK15" s="95"/>
      <c r="AL15" s="95"/>
      <c r="AM15" s="114"/>
      <c r="AN15" s="95"/>
      <c r="AO15" s="95"/>
      <c r="AP15" s="114"/>
      <c r="AQ15" s="95"/>
      <c r="AR15" s="95"/>
      <c r="AS15" s="114"/>
      <c r="AT15" s="95"/>
      <c r="AU15" s="95"/>
      <c r="AV15" s="114"/>
      <c r="AW15" s="95"/>
      <c r="AX15" s="95"/>
      <c r="AY15" s="114"/>
      <c r="AZ15" s="95"/>
      <c r="BA15" s="95"/>
      <c r="BB15" s="114"/>
      <c r="BC15" s="95"/>
      <c r="BD15" s="95"/>
      <c r="BE15" s="114"/>
      <c r="BF15" s="95"/>
      <c r="BG15" s="95"/>
      <c r="BH15" s="114"/>
      <c r="BI15" s="95"/>
      <c r="BJ15" s="95"/>
      <c r="BK15" s="114"/>
      <c r="BL15" s="95"/>
      <c r="BM15" s="95"/>
      <c r="BN15" s="114"/>
      <c r="BO15" s="95"/>
      <c r="BP15" s="95"/>
      <c r="BQ15" s="114"/>
      <c r="BR15" s="95"/>
      <c r="BS15" s="95"/>
      <c r="BT15" s="114"/>
      <c r="BU15" s="95"/>
      <c r="BV15" s="95"/>
      <c r="BW15" s="114"/>
      <c r="BX15" s="95"/>
      <c r="BY15" s="95"/>
      <c r="BZ15" s="114"/>
      <c r="CA15" s="95"/>
      <c r="CB15" s="95"/>
      <c r="CC15" s="114"/>
      <c r="CD15" s="95"/>
      <c r="CE15" s="95"/>
      <c r="CF15" s="114"/>
      <c r="CG15" s="95"/>
      <c r="CH15" s="95"/>
      <c r="CI15" s="213"/>
      <c r="CJ15" s="95"/>
      <c r="CK15" s="95"/>
      <c r="CL15" s="213"/>
      <c r="CM15" s="95"/>
      <c r="CN15" s="95"/>
      <c r="CO15" s="213"/>
      <c r="CP15" s="234"/>
      <c r="CQ15" s="234"/>
      <c r="CR15" s="235"/>
      <c r="CS15" s="95"/>
      <c r="CT15" s="95"/>
      <c r="CU15" s="213"/>
      <c r="CV15" s="95"/>
      <c r="CW15" s="95"/>
      <c r="CX15" s="95"/>
      <c r="CY15" s="95"/>
      <c r="CZ15" s="95"/>
      <c r="DA15" s="95"/>
      <c r="DB15" s="114"/>
      <c r="DC15" s="114"/>
      <c r="DD15" s="114"/>
      <c r="DF15" s="121"/>
      <c r="DG15" s="121"/>
    </row>
    <row r="16" spans="1:111" s="98" customFormat="1" x14ac:dyDescent="0.25">
      <c r="B16" s="103" t="s">
        <v>125</v>
      </c>
      <c r="C16" s="103"/>
      <c r="D16" s="96"/>
      <c r="E16" s="96"/>
      <c r="F16" s="96"/>
      <c r="G16" s="97"/>
      <c r="H16" s="97"/>
      <c r="I16" s="115"/>
      <c r="J16" s="97"/>
      <c r="K16" s="97"/>
      <c r="L16" s="115"/>
      <c r="M16" s="97"/>
      <c r="N16" s="97"/>
      <c r="O16" s="115"/>
      <c r="P16" s="97"/>
      <c r="Q16" s="97"/>
      <c r="R16" s="115"/>
      <c r="S16" s="97"/>
      <c r="T16" s="97"/>
      <c r="U16" s="115"/>
      <c r="V16" s="97"/>
      <c r="W16" s="97"/>
      <c r="X16" s="115"/>
      <c r="Y16" s="97"/>
      <c r="Z16" s="97"/>
      <c r="AA16" s="214"/>
      <c r="AB16" s="97"/>
      <c r="AC16" s="97"/>
      <c r="AD16" s="115"/>
      <c r="AE16" s="97"/>
      <c r="AF16" s="97"/>
      <c r="AG16" s="115"/>
      <c r="AH16" s="97"/>
      <c r="AI16" s="97"/>
      <c r="AJ16" s="115"/>
      <c r="AK16" s="97"/>
      <c r="AL16" s="97"/>
      <c r="AM16" s="115"/>
      <c r="AN16" s="97"/>
      <c r="AO16" s="97"/>
      <c r="AP16" s="115"/>
      <c r="AQ16" s="97"/>
      <c r="AR16" s="97"/>
      <c r="AS16" s="115"/>
      <c r="AT16" s="97"/>
      <c r="AU16" s="97"/>
      <c r="AV16" s="115"/>
      <c r="AW16" s="97"/>
      <c r="AX16" s="97"/>
      <c r="AY16" s="115"/>
      <c r="AZ16" s="97"/>
      <c r="BA16" s="97"/>
      <c r="BB16" s="115"/>
      <c r="BC16" s="97"/>
      <c r="BD16" s="97"/>
      <c r="BE16" s="115"/>
      <c r="BF16" s="97"/>
      <c r="BG16" s="97"/>
      <c r="BH16" s="115"/>
      <c r="BI16" s="97"/>
      <c r="BJ16" s="97"/>
      <c r="BK16" s="115"/>
      <c r="BL16" s="97"/>
      <c r="BM16" s="97"/>
      <c r="BN16" s="115"/>
      <c r="BO16" s="97"/>
      <c r="BP16" s="97"/>
      <c r="BQ16" s="115"/>
      <c r="BR16" s="97"/>
      <c r="BS16" s="97"/>
      <c r="BT16" s="115"/>
      <c r="BU16" s="97"/>
      <c r="BV16" s="97"/>
      <c r="BW16" s="115"/>
      <c r="BX16" s="97"/>
      <c r="BY16" s="97"/>
      <c r="BZ16" s="115"/>
      <c r="CA16" s="97"/>
      <c r="CB16" s="97"/>
      <c r="CC16" s="115"/>
      <c r="CD16" s="97"/>
      <c r="CE16" s="97"/>
      <c r="CF16" s="115"/>
      <c r="CG16" s="97"/>
      <c r="CH16" s="97"/>
      <c r="CI16" s="214"/>
      <c r="CJ16" s="97"/>
      <c r="CK16" s="97"/>
      <c r="CL16" s="214"/>
      <c r="CM16" s="97"/>
      <c r="CN16" s="97"/>
      <c r="CO16" s="214"/>
      <c r="CP16" s="236"/>
      <c r="CQ16" s="236"/>
      <c r="CR16" s="237"/>
      <c r="CS16" s="97"/>
      <c r="CT16" s="97"/>
      <c r="CU16" s="214"/>
      <c r="CV16" s="97"/>
      <c r="CW16" s="97"/>
      <c r="CX16" s="96" t="s">
        <v>126</v>
      </c>
      <c r="CY16" s="96"/>
      <c r="CZ16" s="96"/>
      <c r="DB16" s="115"/>
      <c r="DC16" s="115"/>
      <c r="DD16" s="115"/>
      <c r="DF16" s="115"/>
      <c r="DG16" s="115"/>
    </row>
    <row r="17" spans="4:111" x14ac:dyDescent="0.25">
      <c r="CX17" s="101"/>
      <c r="CY17" s="101"/>
      <c r="CZ17" s="101"/>
    </row>
    <row r="18" spans="4:111" x14ac:dyDescent="0.25">
      <c r="CX18" s="101"/>
      <c r="CY18" s="101"/>
      <c r="CZ18" s="101"/>
    </row>
    <row r="19" spans="4:111" x14ac:dyDescent="0.25">
      <c r="CX19" s="101"/>
      <c r="CY19" s="101"/>
      <c r="CZ19" s="101"/>
    </row>
    <row r="21" spans="4:111" s="78" customFormat="1" ht="15" x14ac:dyDescent="0.25">
      <c r="D21" s="79"/>
      <c r="E21" s="79"/>
      <c r="F21" s="79"/>
      <c r="G21" s="102"/>
      <c r="H21" s="102"/>
      <c r="I21" s="109"/>
      <c r="J21" s="102"/>
      <c r="K21" s="102"/>
      <c r="L21" s="109"/>
      <c r="M21" s="102"/>
      <c r="N21" s="102"/>
      <c r="O21" s="109"/>
      <c r="P21" s="102"/>
      <c r="Q21" s="102"/>
      <c r="R21" s="109"/>
      <c r="S21" s="102"/>
      <c r="T21" s="102"/>
      <c r="U21" s="109"/>
      <c r="V21" s="102"/>
      <c r="W21" s="102"/>
      <c r="X21" s="109"/>
      <c r="Y21" s="102"/>
      <c r="Z21" s="102"/>
      <c r="AA21" s="216"/>
      <c r="AB21" s="102"/>
      <c r="AC21" s="102"/>
      <c r="AD21" s="109"/>
      <c r="AE21" s="102"/>
      <c r="AF21" s="102"/>
      <c r="AG21" s="109"/>
      <c r="AH21" s="102"/>
      <c r="AI21" s="102"/>
      <c r="AJ21" s="109"/>
      <c r="AK21" s="102"/>
      <c r="AL21" s="102"/>
      <c r="AM21" s="109"/>
      <c r="AN21" s="102"/>
      <c r="AO21" s="102"/>
      <c r="AP21" s="109"/>
      <c r="AQ21" s="102"/>
      <c r="AR21" s="102"/>
      <c r="AS21" s="109"/>
      <c r="AT21" s="102"/>
      <c r="AU21" s="102"/>
      <c r="AV21" s="109"/>
      <c r="AW21" s="102"/>
      <c r="AX21" s="102"/>
      <c r="AY21" s="109"/>
      <c r="AZ21" s="102"/>
      <c r="BA21" s="102"/>
      <c r="BB21" s="109"/>
      <c r="BC21" s="102"/>
      <c r="BD21" s="102"/>
      <c r="BE21" s="109"/>
      <c r="BF21" s="102"/>
      <c r="BG21" s="102"/>
      <c r="BH21" s="109"/>
      <c r="BI21" s="102"/>
      <c r="BJ21" s="102"/>
      <c r="BK21" s="109"/>
      <c r="BL21" s="102"/>
      <c r="BM21" s="102"/>
      <c r="BN21" s="109"/>
      <c r="BO21" s="102"/>
      <c r="BP21" s="102"/>
      <c r="BQ21" s="109"/>
      <c r="BR21" s="102"/>
      <c r="BS21" s="102"/>
      <c r="BT21" s="109"/>
      <c r="BU21" s="102"/>
      <c r="BV21" s="102"/>
      <c r="BW21" s="109"/>
      <c r="BX21" s="102"/>
      <c r="BY21" s="102"/>
      <c r="BZ21" s="109"/>
      <c r="CA21" s="102"/>
      <c r="CB21" s="102"/>
      <c r="CC21" s="109"/>
      <c r="CD21" s="102"/>
      <c r="CE21" s="102"/>
      <c r="CF21" s="109"/>
      <c r="CG21" s="102"/>
      <c r="CH21" s="102"/>
      <c r="CI21" s="216"/>
      <c r="CJ21" s="102"/>
      <c r="CK21" s="102"/>
      <c r="CL21" s="216"/>
      <c r="CM21" s="102"/>
      <c r="CN21" s="102"/>
      <c r="CO21" s="216"/>
      <c r="CP21" s="240"/>
      <c r="CQ21" s="240"/>
      <c r="CR21" s="224"/>
      <c r="CS21" s="102"/>
      <c r="CT21" s="102"/>
      <c r="CU21" s="216"/>
      <c r="CV21" s="102"/>
      <c r="CW21" s="102"/>
      <c r="CX21" s="299"/>
      <c r="CY21" s="299"/>
      <c r="CZ21" s="79"/>
      <c r="DB21" s="109"/>
      <c r="DC21" s="109"/>
      <c r="DD21" s="109"/>
      <c r="DF21" s="109"/>
      <c r="DG21" s="109"/>
    </row>
  </sheetData>
  <autoFilter ref="A7:DH14" xr:uid="{00000000-0009-0000-0000-000009000000}"/>
  <mergeCells count="46">
    <mergeCell ref="CV6:CV7"/>
    <mergeCell ref="BO6:BQ6"/>
    <mergeCell ref="CG6:CI6"/>
    <mergeCell ref="CJ6:CL6"/>
    <mergeCell ref="CM6:CO6"/>
    <mergeCell ref="CP6:CR6"/>
    <mergeCell ref="CS6:CU6"/>
    <mergeCell ref="BR6:BT6"/>
    <mergeCell ref="BU6:BW6"/>
    <mergeCell ref="BX6:BZ6"/>
    <mergeCell ref="CA6:CC6"/>
    <mergeCell ref="CD6:CF6"/>
    <mergeCell ref="CX21:CY21"/>
    <mergeCell ref="DG6:DG7"/>
    <mergeCell ref="CW6:DA6"/>
    <mergeCell ref="DB6:DB7"/>
    <mergeCell ref="DC6:DC7"/>
    <mergeCell ref="DD6:DD7"/>
    <mergeCell ref="DE6:DE7"/>
    <mergeCell ref="DF6:DF7"/>
    <mergeCell ref="BL6:BN6"/>
    <mergeCell ref="AE6:AG6"/>
    <mergeCell ref="AH6:AJ6"/>
    <mergeCell ref="AK6:AM6"/>
    <mergeCell ref="AN6:AP6"/>
    <mergeCell ref="AQ6:AS6"/>
    <mergeCell ref="AT6:AV6"/>
    <mergeCell ref="AW6:AY6"/>
    <mergeCell ref="AZ6:BB6"/>
    <mergeCell ref="BC6:BE6"/>
    <mergeCell ref="BF6:BH6"/>
    <mergeCell ref="BI6:BK6"/>
    <mergeCell ref="AB6:AD6"/>
    <mergeCell ref="A6:A7"/>
    <mergeCell ref="B6:B7"/>
    <mergeCell ref="C6:C7"/>
    <mergeCell ref="D6:D7"/>
    <mergeCell ref="G6:I6"/>
    <mergeCell ref="J6:L6"/>
    <mergeCell ref="M6:O6"/>
    <mergeCell ref="P6:R6"/>
    <mergeCell ref="S6:U6"/>
    <mergeCell ref="V6:X6"/>
    <mergeCell ref="Y6:AA6"/>
    <mergeCell ref="E6:E7"/>
    <mergeCell ref="F6:F7"/>
  </mergeCells>
  <conditionalFormatting sqref="B8">
    <cfRule type="duplicateValues" dxfId="21" priority="1"/>
    <cfRule type="duplicateValues" dxfId="20" priority="2"/>
    <cfRule type="duplicateValues" dxfId="19" priority="3"/>
  </conditionalFormatting>
  <conditionalFormatting sqref="B10:B12">
    <cfRule type="duplicateValues" dxfId="18" priority="1765"/>
  </conditionalFormatting>
  <dataValidations disablePrompts="1" count="1">
    <dataValidation type="list" allowBlank="1" showInputMessage="1" showErrorMessage="1" sqref="E8:E13" xr:uid="{00000000-0002-0000-0900-000000000000}">
      <formula1>$DE$1:$DE$5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Q106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H5" sqref="H5"/>
    </sheetView>
  </sheetViews>
  <sheetFormatPr defaultColWidth="9.140625" defaultRowHeight="12.75" x14ac:dyDescent="0.2"/>
  <cols>
    <col min="1" max="1" width="4.85546875" style="154" customWidth="1"/>
    <col min="2" max="2" width="8.85546875" style="154" customWidth="1"/>
    <col min="3" max="3" width="23.85546875" style="154" customWidth="1"/>
    <col min="4" max="4" width="15.140625" style="154" customWidth="1"/>
    <col min="5" max="5" width="7.42578125" style="205" customWidth="1"/>
    <col min="6" max="6" width="10.5703125" style="205" customWidth="1"/>
    <col min="7" max="7" width="7.42578125" style="205" customWidth="1"/>
    <col min="8" max="8" width="10.85546875" style="205" customWidth="1"/>
    <col min="9" max="9" width="7.42578125" style="205" customWidth="1"/>
    <col min="10" max="10" width="12.140625" style="205" customWidth="1"/>
    <col min="11" max="11" width="11.42578125" style="205" customWidth="1"/>
    <col min="12" max="12" width="8.85546875" style="205" customWidth="1"/>
    <col min="13" max="15" width="9.140625" style="154"/>
    <col min="16" max="16" width="17" style="154" customWidth="1"/>
    <col min="17" max="17" width="9.140625" style="153"/>
    <col min="18" max="16384" width="9.140625" style="154"/>
  </cols>
  <sheetData>
    <row r="1" spans="1:17" ht="15" x14ac:dyDescent="0.25">
      <c r="A1" s="150" t="s">
        <v>129</v>
      </c>
      <c r="B1" s="150"/>
      <c r="C1" s="150"/>
      <c r="D1" s="151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</row>
    <row r="2" spans="1:17" ht="15" x14ac:dyDescent="0.25">
      <c r="A2" s="150" t="s">
        <v>130</v>
      </c>
      <c r="B2" s="150"/>
      <c r="C2" s="150"/>
      <c r="D2" s="155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</row>
    <row r="3" spans="1:17" ht="18.75" x14ac:dyDescent="0.2">
      <c r="B3" s="156"/>
      <c r="C3" s="156"/>
      <c r="D3" s="156"/>
      <c r="E3" s="156"/>
      <c r="F3" s="156"/>
      <c r="G3" s="156"/>
      <c r="H3" s="156"/>
      <c r="I3" s="157" t="s">
        <v>145</v>
      </c>
      <c r="J3" s="156"/>
      <c r="K3" s="156"/>
      <c r="L3" s="156"/>
      <c r="M3" s="156"/>
      <c r="N3" s="156"/>
      <c r="O3" s="156"/>
      <c r="P3" s="156"/>
    </row>
    <row r="4" spans="1:17" ht="15.75" x14ac:dyDescent="0.2">
      <c r="A4" s="158"/>
      <c r="B4" s="158"/>
      <c r="C4" s="158"/>
      <c r="D4" s="158"/>
      <c r="E4" s="158"/>
      <c r="F4" s="158"/>
      <c r="G4" s="158"/>
      <c r="H4" s="158"/>
      <c r="I4" s="159"/>
      <c r="J4" s="159"/>
      <c r="K4" s="159"/>
      <c r="L4" s="159"/>
    </row>
    <row r="5" spans="1:17" s="150" customFormat="1" ht="63.75" x14ac:dyDescent="0.2">
      <c r="A5" s="160" t="s">
        <v>42</v>
      </c>
      <c r="B5" s="160" t="s">
        <v>77</v>
      </c>
      <c r="C5" s="160" t="s">
        <v>43</v>
      </c>
      <c r="D5" s="161" t="s">
        <v>131</v>
      </c>
      <c r="E5" s="161" t="s">
        <v>132</v>
      </c>
      <c r="F5" s="161" t="s">
        <v>133</v>
      </c>
      <c r="G5" s="161" t="s">
        <v>134</v>
      </c>
      <c r="H5" s="161" t="s">
        <v>135</v>
      </c>
      <c r="I5" s="161" t="s">
        <v>119</v>
      </c>
      <c r="J5" s="161" t="s">
        <v>136</v>
      </c>
      <c r="K5" s="161" t="s">
        <v>137</v>
      </c>
      <c r="L5" s="161" t="s">
        <v>138</v>
      </c>
      <c r="M5" s="161" t="s">
        <v>139</v>
      </c>
      <c r="N5" s="161" t="s">
        <v>140</v>
      </c>
      <c r="O5" s="161" t="s">
        <v>141</v>
      </c>
      <c r="P5" s="161" t="s">
        <v>55</v>
      </c>
      <c r="Q5" s="162" t="s">
        <v>114</v>
      </c>
    </row>
    <row r="6" spans="1:17" x14ac:dyDescent="0.2">
      <c r="A6" s="163" t="s">
        <v>142</v>
      </c>
      <c r="B6" s="163"/>
      <c r="C6" s="163"/>
      <c r="D6" s="164"/>
      <c r="E6" s="164"/>
      <c r="F6" s="164"/>
      <c r="G6" s="164"/>
      <c r="H6" s="164"/>
      <c r="I6" s="165"/>
      <c r="J6" s="165"/>
      <c r="K6" s="165"/>
      <c r="L6" s="165"/>
      <c r="M6" s="165"/>
      <c r="N6" s="165"/>
      <c r="O6" s="165"/>
      <c r="P6" s="164"/>
    </row>
    <row r="7" spans="1:17" s="172" customFormat="1" ht="28.5" customHeight="1" x14ac:dyDescent="0.25">
      <c r="A7" s="71">
        <f>COUNTA($A$6:A6)</f>
        <v>1</v>
      </c>
      <c r="B7" s="175" t="s">
        <v>5</v>
      </c>
      <c r="C7" s="166" t="e">
        <f>IF($B7="","",VLOOKUP($B7,#REF!,2,0))</f>
        <v>#REF!</v>
      </c>
      <c r="D7" s="167" t="e">
        <f>IF($B7="","",VLOOKUP($B7,#REF!,4,0))</f>
        <v>#REF!</v>
      </c>
      <c r="E7" s="168">
        <v>19</v>
      </c>
      <c r="F7" s="169">
        <v>45596</v>
      </c>
      <c r="G7" s="168">
        <v>6</v>
      </c>
      <c r="H7" s="169">
        <v>45597</v>
      </c>
      <c r="I7" s="168">
        <f>(24-E7+G7)</f>
        <v>11</v>
      </c>
      <c r="J7" s="168">
        <v>8</v>
      </c>
      <c r="K7" s="168">
        <f t="shared" ref="K7" si="0">I7-J7</f>
        <v>3</v>
      </c>
      <c r="L7" s="168">
        <f t="shared" ref="L7" si="1">(J7*210%)</f>
        <v>16.8</v>
      </c>
      <c r="M7" s="168">
        <f t="shared" ref="M7" si="2">(K7*150%)</f>
        <v>4.5</v>
      </c>
      <c r="N7" s="168">
        <f t="shared" ref="N7" si="3">L7+M7</f>
        <v>21.3</v>
      </c>
      <c r="O7" s="168">
        <f t="shared" ref="O7" si="4">N7/8</f>
        <v>2.6625000000000001</v>
      </c>
      <c r="P7" s="170"/>
      <c r="Q7" s="171">
        <f>I7/8</f>
        <v>1.375</v>
      </c>
    </row>
    <row r="8" spans="1:17" s="172" customFormat="1" ht="28.5" customHeight="1" x14ac:dyDescent="0.25">
      <c r="A8" s="71">
        <f>COUNTA($A$6:A7)</f>
        <v>2</v>
      </c>
      <c r="B8" s="173"/>
      <c r="C8" s="166" t="str">
        <f>IF($B8="","",VLOOKUP($B8,#REF!,2,0))</f>
        <v/>
      </c>
      <c r="D8" s="167" t="str">
        <f>IF($B8="","",VLOOKUP($B8,#REF!,4,0))</f>
        <v/>
      </c>
      <c r="E8" s="168"/>
      <c r="F8" s="169"/>
      <c r="G8" s="168"/>
      <c r="H8" s="169"/>
      <c r="I8" s="168">
        <f t="shared" ref="I8:I66" si="5">(24-E8+G8)</f>
        <v>24</v>
      </c>
      <c r="J8" s="168"/>
      <c r="K8" s="168">
        <f t="shared" ref="K8:K66" si="6">I8-J8</f>
        <v>24</v>
      </c>
      <c r="L8" s="168">
        <f t="shared" ref="L8:L66" si="7">(J8*210%)</f>
        <v>0</v>
      </c>
      <c r="M8" s="168">
        <f t="shared" ref="M8:M66" si="8">(K8*150%)</f>
        <v>36</v>
      </c>
      <c r="N8" s="168">
        <f t="shared" ref="N8:N66" si="9">L8+M8</f>
        <v>36</v>
      </c>
      <c r="O8" s="168">
        <f t="shared" ref="O8:O66" si="10">N8/8</f>
        <v>4.5</v>
      </c>
      <c r="P8" s="170"/>
      <c r="Q8" s="171">
        <f t="shared" ref="Q8:Q66" si="11">I8/8</f>
        <v>3</v>
      </c>
    </row>
    <row r="9" spans="1:17" s="172" customFormat="1" ht="28.5" customHeight="1" x14ac:dyDescent="0.25">
      <c r="A9" s="71">
        <f>COUNTA($A$6:A8)</f>
        <v>3</v>
      </c>
      <c r="B9" s="173"/>
      <c r="C9" s="166" t="str">
        <f>IF($B9="","",VLOOKUP($B9,#REF!,2,0))</f>
        <v/>
      </c>
      <c r="D9" s="167" t="str">
        <f>IF($B9="","",VLOOKUP($B9,#REF!,4,0))</f>
        <v/>
      </c>
      <c r="E9" s="168"/>
      <c r="F9" s="169"/>
      <c r="G9" s="168"/>
      <c r="H9" s="169"/>
      <c r="I9" s="168">
        <f t="shared" si="5"/>
        <v>24</v>
      </c>
      <c r="J9" s="168"/>
      <c r="K9" s="168">
        <f t="shared" si="6"/>
        <v>24</v>
      </c>
      <c r="L9" s="168">
        <f t="shared" si="7"/>
        <v>0</v>
      </c>
      <c r="M9" s="168">
        <f t="shared" si="8"/>
        <v>36</v>
      </c>
      <c r="N9" s="168">
        <f t="shared" si="9"/>
        <v>36</v>
      </c>
      <c r="O9" s="168">
        <f t="shared" si="10"/>
        <v>4.5</v>
      </c>
      <c r="P9" s="170"/>
      <c r="Q9" s="171">
        <f t="shared" si="11"/>
        <v>3</v>
      </c>
    </row>
    <row r="10" spans="1:17" s="172" customFormat="1" ht="28.5" customHeight="1" x14ac:dyDescent="0.25">
      <c r="A10" s="71">
        <f>COUNTA($A$6:A9)</f>
        <v>4</v>
      </c>
      <c r="B10" s="173"/>
      <c r="C10" s="174" t="str">
        <f>IF($B10="","",VLOOKUP($B10,#REF!,2,0))</f>
        <v/>
      </c>
      <c r="D10" s="167" t="str">
        <f>IF($B10="","",VLOOKUP($B10,#REF!,4,0))</f>
        <v/>
      </c>
      <c r="E10" s="168"/>
      <c r="F10" s="169"/>
      <c r="G10" s="168"/>
      <c r="H10" s="169"/>
      <c r="I10" s="168">
        <f t="shared" si="5"/>
        <v>24</v>
      </c>
      <c r="J10" s="168"/>
      <c r="K10" s="168">
        <f t="shared" si="6"/>
        <v>24</v>
      </c>
      <c r="L10" s="168">
        <f t="shared" si="7"/>
        <v>0</v>
      </c>
      <c r="M10" s="168">
        <f t="shared" si="8"/>
        <v>36</v>
      </c>
      <c r="N10" s="168">
        <f t="shared" si="9"/>
        <v>36</v>
      </c>
      <c r="O10" s="168">
        <f t="shared" si="10"/>
        <v>4.5</v>
      </c>
      <c r="P10" s="170"/>
      <c r="Q10" s="171">
        <f t="shared" si="11"/>
        <v>3</v>
      </c>
    </row>
    <row r="11" spans="1:17" s="172" customFormat="1" ht="28.5" customHeight="1" x14ac:dyDescent="0.25">
      <c r="A11" s="71">
        <f>COUNTA($A$6:A10)</f>
        <v>5</v>
      </c>
      <c r="B11" s="173"/>
      <c r="C11" s="166" t="str">
        <f>IF($B11="","",VLOOKUP($B11,#REF!,2,0))</f>
        <v/>
      </c>
      <c r="D11" s="167" t="str">
        <f>IF($B11="","",VLOOKUP($B11,#REF!,4,0))</f>
        <v/>
      </c>
      <c r="E11" s="168"/>
      <c r="F11" s="169"/>
      <c r="G11" s="168"/>
      <c r="H11" s="169"/>
      <c r="I11" s="168">
        <f t="shared" si="5"/>
        <v>24</v>
      </c>
      <c r="J11" s="168"/>
      <c r="K11" s="168">
        <f t="shared" si="6"/>
        <v>24</v>
      </c>
      <c r="L11" s="168">
        <f t="shared" si="7"/>
        <v>0</v>
      </c>
      <c r="M11" s="168">
        <f t="shared" si="8"/>
        <v>36</v>
      </c>
      <c r="N11" s="168">
        <f t="shared" si="9"/>
        <v>36</v>
      </c>
      <c r="O11" s="168">
        <f t="shared" si="10"/>
        <v>4.5</v>
      </c>
      <c r="P11" s="170"/>
      <c r="Q11" s="171">
        <f t="shared" si="11"/>
        <v>3</v>
      </c>
    </row>
    <row r="12" spans="1:17" s="172" customFormat="1" ht="28.5" customHeight="1" x14ac:dyDescent="0.25">
      <c r="A12" s="71">
        <f>COUNTA($A$6:A11)</f>
        <v>6</v>
      </c>
      <c r="B12" s="3"/>
      <c r="C12" s="166" t="str">
        <f>IF($B12="","",VLOOKUP($B12,#REF!,2,0))</f>
        <v/>
      </c>
      <c r="D12" s="167" t="str">
        <f>IF($B12="","",VLOOKUP($B12,#REF!,4,0))</f>
        <v/>
      </c>
      <c r="E12" s="168"/>
      <c r="F12" s="169"/>
      <c r="G12" s="168"/>
      <c r="H12" s="169"/>
      <c r="I12" s="168">
        <f t="shared" si="5"/>
        <v>24</v>
      </c>
      <c r="J12" s="168"/>
      <c r="K12" s="168">
        <f t="shared" si="6"/>
        <v>24</v>
      </c>
      <c r="L12" s="168">
        <f t="shared" si="7"/>
        <v>0</v>
      </c>
      <c r="M12" s="168">
        <f t="shared" si="8"/>
        <v>36</v>
      </c>
      <c r="N12" s="168">
        <f t="shared" si="9"/>
        <v>36</v>
      </c>
      <c r="O12" s="168">
        <f t="shared" si="10"/>
        <v>4.5</v>
      </c>
      <c r="P12" s="170"/>
      <c r="Q12" s="171">
        <f t="shared" si="11"/>
        <v>3</v>
      </c>
    </row>
    <row r="13" spans="1:17" s="172" customFormat="1" ht="28.5" customHeight="1" x14ac:dyDescent="0.25">
      <c r="A13" s="71">
        <f>COUNTA($A$6:A12)</f>
        <v>7</v>
      </c>
      <c r="B13" s="175"/>
      <c r="C13" s="166" t="str">
        <f>IF($B13="","",VLOOKUP($B13,#REF!,2,0))</f>
        <v/>
      </c>
      <c r="D13" s="167" t="str">
        <f>IF($B13="","",VLOOKUP($B13,#REF!,4,0))</f>
        <v/>
      </c>
      <c r="E13" s="168"/>
      <c r="F13" s="169"/>
      <c r="G13" s="168"/>
      <c r="H13" s="169"/>
      <c r="I13" s="168">
        <f t="shared" si="5"/>
        <v>24</v>
      </c>
      <c r="J13" s="168"/>
      <c r="K13" s="168">
        <f t="shared" si="6"/>
        <v>24</v>
      </c>
      <c r="L13" s="168">
        <f t="shared" si="7"/>
        <v>0</v>
      </c>
      <c r="M13" s="168">
        <f t="shared" si="8"/>
        <v>36</v>
      </c>
      <c r="N13" s="168">
        <f t="shared" si="9"/>
        <v>36</v>
      </c>
      <c r="O13" s="168">
        <f t="shared" si="10"/>
        <v>4.5</v>
      </c>
      <c r="P13" s="170"/>
      <c r="Q13" s="171">
        <f t="shared" si="11"/>
        <v>3</v>
      </c>
    </row>
    <row r="14" spans="1:17" s="172" customFormat="1" ht="28.5" customHeight="1" x14ac:dyDescent="0.25">
      <c r="A14" s="71">
        <f>COUNTA($A$6:A13)</f>
        <v>8</v>
      </c>
      <c r="B14" s="173"/>
      <c r="C14" s="166" t="str">
        <f>IF($B14="","",VLOOKUP($B14,#REF!,2,0))</f>
        <v/>
      </c>
      <c r="D14" s="167" t="str">
        <f>IF($B14="","",VLOOKUP($B14,#REF!,4,0))</f>
        <v/>
      </c>
      <c r="E14" s="168"/>
      <c r="F14" s="169"/>
      <c r="G14" s="168"/>
      <c r="H14" s="169"/>
      <c r="I14" s="168">
        <f t="shared" si="5"/>
        <v>24</v>
      </c>
      <c r="J14" s="168"/>
      <c r="K14" s="168">
        <f t="shared" si="6"/>
        <v>24</v>
      </c>
      <c r="L14" s="168">
        <f t="shared" si="7"/>
        <v>0</v>
      </c>
      <c r="M14" s="168">
        <f t="shared" si="8"/>
        <v>36</v>
      </c>
      <c r="N14" s="168">
        <f t="shared" si="9"/>
        <v>36</v>
      </c>
      <c r="O14" s="168">
        <f t="shared" si="10"/>
        <v>4.5</v>
      </c>
      <c r="P14" s="170"/>
      <c r="Q14" s="171">
        <f t="shared" si="11"/>
        <v>3</v>
      </c>
    </row>
    <row r="15" spans="1:17" s="172" customFormat="1" ht="28.5" customHeight="1" x14ac:dyDescent="0.25">
      <c r="A15" s="71">
        <f>COUNTA($A$6:A14)</f>
        <v>9</v>
      </c>
      <c r="B15" s="173"/>
      <c r="C15" s="166" t="str">
        <f>IF($B15="","",VLOOKUP($B15,#REF!,2,0))</f>
        <v/>
      </c>
      <c r="D15" s="167" t="str">
        <f>IF($B15="","",VLOOKUP($B15,#REF!,4,0))</f>
        <v/>
      </c>
      <c r="E15" s="168"/>
      <c r="F15" s="169"/>
      <c r="G15" s="168"/>
      <c r="H15" s="169"/>
      <c r="I15" s="168">
        <f t="shared" si="5"/>
        <v>24</v>
      </c>
      <c r="J15" s="168"/>
      <c r="K15" s="168">
        <f t="shared" si="6"/>
        <v>24</v>
      </c>
      <c r="L15" s="168">
        <f t="shared" si="7"/>
        <v>0</v>
      </c>
      <c r="M15" s="168">
        <f t="shared" si="8"/>
        <v>36</v>
      </c>
      <c r="N15" s="168">
        <f t="shared" si="9"/>
        <v>36</v>
      </c>
      <c r="O15" s="168">
        <f t="shared" si="10"/>
        <v>4.5</v>
      </c>
      <c r="P15" s="170"/>
      <c r="Q15" s="171">
        <f t="shared" si="11"/>
        <v>3</v>
      </c>
    </row>
    <row r="16" spans="1:17" s="172" customFormat="1" ht="28.5" customHeight="1" x14ac:dyDescent="0.25">
      <c r="A16" s="71">
        <f>COUNTA($A$6:A15)</f>
        <v>10</v>
      </c>
      <c r="B16" s="173"/>
      <c r="C16" s="166" t="str">
        <f>IF($B16="","",VLOOKUP($B16,#REF!,2,0))</f>
        <v/>
      </c>
      <c r="D16" s="167" t="str">
        <f>IF($B16="","",VLOOKUP($B16,#REF!,4,0))</f>
        <v/>
      </c>
      <c r="E16" s="168"/>
      <c r="F16" s="169"/>
      <c r="G16" s="168"/>
      <c r="H16" s="169"/>
      <c r="I16" s="168">
        <f t="shared" si="5"/>
        <v>24</v>
      </c>
      <c r="J16" s="168"/>
      <c r="K16" s="168">
        <f t="shared" si="6"/>
        <v>24</v>
      </c>
      <c r="L16" s="168">
        <f t="shared" si="7"/>
        <v>0</v>
      </c>
      <c r="M16" s="168">
        <f t="shared" si="8"/>
        <v>36</v>
      </c>
      <c r="N16" s="168">
        <f t="shared" si="9"/>
        <v>36</v>
      </c>
      <c r="O16" s="168">
        <f t="shared" si="10"/>
        <v>4.5</v>
      </c>
      <c r="P16" s="170"/>
      <c r="Q16" s="171">
        <f t="shared" si="11"/>
        <v>3</v>
      </c>
    </row>
    <row r="17" spans="1:17" s="172" customFormat="1" ht="28.5" customHeight="1" x14ac:dyDescent="0.25">
      <c r="A17" s="71">
        <f>COUNTA($A$6:A16)</f>
        <v>11</v>
      </c>
      <c r="B17" s="173"/>
      <c r="C17" s="166" t="str">
        <f>IF($B17="","",VLOOKUP($B17,#REF!,2,0))</f>
        <v/>
      </c>
      <c r="D17" s="176" t="str">
        <f>IF($B17="","",VLOOKUP($B17,#REF!,4,0))</f>
        <v/>
      </c>
      <c r="E17" s="168"/>
      <c r="F17" s="169"/>
      <c r="G17" s="168"/>
      <c r="H17" s="169"/>
      <c r="I17" s="168">
        <f t="shared" si="5"/>
        <v>24</v>
      </c>
      <c r="J17" s="168"/>
      <c r="K17" s="168">
        <f t="shared" si="6"/>
        <v>24</v>
      </c>
      <c r="L17" s="168">
        <f t="shared" si="7"/>
        <v>0</v>
      </c>
      <c r="M17" s="168">
        <f t="shared" si="8"/>
        <v>36</v>
      </c>
      <c r="N17" s="168">
        <f t="shared" si="9"/>
        <v>36</v>
      </c>
      <c r="O17" s="168">
        <f t="shared" si="10"/>
        <v>4.5</v>
      </c>
      <c r="P17" s="170"/>
      <c r="Q17" s="171">
        <f t="shared" si="11"/>
        <v>3</v>
      </c>
    </row>
    <row r="18" spans="1:17" s="172" customFormat="1" ht="28.5" customHeight="1" x14ac:dyDescent="0.25">
      <c r="A18" s="71">
        <f>COUNTA($A$6:A17)</f>
        <v>12</v>
      </c>
      <c r="B18" s="177"/>
      <c r="C18" s="178" t="str">
        <f>IF($B18="","",VLOOKUP($B18,#REF!,2,0))</f>
        <v/>
      </c>
      <c r="D18" s="167" t="str">
        <f>IF($B18="","",VLOOKUP($B18,#REF!,4,0))</f>
        <v/>
      </c>
      <c r="E18" s="168"/>
      <c r="F18" s="169"/>
      <c r="G18" s="168"/>
      <c r="H18" s="169"/>
      <c r="I18" s="168">
        <f t="shared" si="5"/>
        <v>24</v>
      </c>
      <c r="J18" s="168"/>
      <c r="K18" s="168">
        <f t="shared" si="6"/>
        <v>24</v>
      </c>
      <c r="L18" s="168">
        <f t="shared" si="7"/>
        <v>0</v>
      </c>
      <c r="M18" s="168">
        <f t="shared" si="8"/>
        <v>36</v>
      </c>
      <c r="N18" s="168">
        <f t="shared" si="9"/>
        <v>36</v>
      </c>
      <c r="O18" s="168">
        <f t="shared" si="10"/>
        <v>4.5</v>
      </c>
      <c r="P18" s="170"/>
      <c r="Q18" s="171">
        <f t="shared" si="11"/>
        <v>3</v>
      </c>
    </row>
    <row r="19" spans="1:17" s="172" customFormat="1" ht="28.5" customHeight="1" x14ac:dyDescent="0.25">
      <c r="A19" s="71">
        <f>COUNTA($A$6:A18)</f>
        <v>13</v>
      </c>
      <c r="B19" s="177"/>
      <c r="C19" s="178" t="str">
        <f>IF($B19="","",VLOOKUP($B19,#REF!,2,0))</f>
        <v/>
      </c>
      <c r="D19" s="167" t="str">
        <f>IF($B19="","",VLOOKUP($B19,#REF!,4,0))</f>
        <v/>
      </c>
      <c r="E19" s="168"/>
      <c r="F19" s="169"/>
      <c r="G19" s="168"/>
      <c r="H19" s="169"/>
      <c r="I19" s="168">
        <f t="shared" si="5"/>
        <v>24</v>
      </c>
      <c r="J19" s="168"/>
      <c r="K19" s="168">
        <f t="shared" si="6"/>
        <v>24</v>
      </c>
      <c r="L19" s="168">
        <f t="shared" si="7"/>
        <v>0</v>
      </c>
      <c r="M19" s="168">
        <f t="shared" si="8"/>
        <v>36</v>
      </c>
      <c r="N19" s="168">
        <f t="shared" si="9"/>
        <v>36</v>
      </c>
      <c r="O19" s="168">
        <f t="shared" si="10"/>
        <v>4.5</v>
      </c>
      <c r="P19" s="170"/>
      <c r="Q19" s="171">
        <f t="shared" si="11"/>
        <v>3</v>
      </c>
    </row>
    <row r="20" spans="1:17" s="172" customFormat="1" ht="28.5" customHeight="1" x14ac:dyDescent="0.25">
      <c r="A20" s="71">
        <f>COUNTA($A$6:A19)</f>
        <v>14</v>
      </c>
      <c r="B20" s="177"/>
      <c r="C20" s="178" t="str">
        <f>IF($B20="","",VLOOKUP($B20,#REF!,2,0))</f>
        <v/>
      </c>
      <c r="D20" s="167" t="str">
        <f>IF($B20="","",VLOOKUP($B20,#REF!,4,0))</f>
        <v/>
      </c>
      <c r="E20" s="168"/>
      <c r="F20" s="169"/>
      <c r="G20" s="168"/>
      <c r="H20" s="169"/>
      <c r="I20" s="168">
        <f t="shared" si="5"/>
        <v>24</v>
      </c>
      <c r="J20" s="168"/>
      <c r="K20" s="168">
        <f t="shared" si="6"/>
        <v>24</v>
      </c>
      <c r="L20" s="168">
        <f t="shared" si="7"/>
        <v>0</v>
      </c>
      <c r="M20" s="168">
        <f t="shared" si="8"/>
        <v>36</v>
      </c>
      <c r="N20" s="168">
        <f t="shared" si="9"/>
        <v>36</v>
      </c>
      <c r="O20" s="168">
        <f t="shared" si="10"/>
        <v>4.5</v>
      </c>
      <c r="P20" s="170"/>
      <c r="Q20" s="171">
        <f t="shared" si="11"/>
        <v>3</v>
      </c>
    </row>
    <row r="21" spans="1:17" s="172" customFormat="1" ht="28.5" customHeight="1" x14ac:dyDescent="0.25">
      <c r="A21" s="71">
        <f>COUNTA($A$6:A20)</f>
        <v>15</v>
      </c>
      <c r="B21" s="177"/>
      <c r="C21" s="178" t="str">
        <f>IF($B21="","",VLOOKUP($B21,#REF!,2,0))</f>
        <v/>
      </c>
      <c r="D21" s="167" t="str">
        <f>IF($B21="","",VLOOKUP($B21,#REF!,4,0))</f>
        <v/>
      </c>
      <c r="E21" s="168"/>
      <c r="F21" s="169"/>
      <c r="G21" s="168"/>
      <c r="H21" s="169"/>
      <c r="I21" s="168">
        <f t="shared" si="5"/>
        <v>24</v>
      </c>
      <c r="J21" s="168"/>
      <c r="K21" s="168">
        <f t="shared" si="6"/>
        <v>24</v>
      </c>
      <c r="L21" s="168">
        <f t="shared" si="7"/>
        <v>0</v>
      </c>
      <c r="M21" s="168">
        <f t="shared" si="8"/>
        <v>36</v>
      </c>
      <c r="N21" s="168">
        <f t="shared" si="9"/>
        <v>36</v>
      </c>
      <c r="O21" s="168">
        <f t="shared" si="10"/>
        <v>4.5</v>
      </c>
      <c r="P21" s="170"/>
      <c r="Q21" s="171">
        <f t="shared" si="11"/>
        <v>3</v>
      </c>
    </row>
    <row r="22" spans="1:17" s="172" customFormat="1" ht="28.5" customHeight="1" x14ac:dyDescent="0.25">
      <c r="A22" s="71">
        <f>COUNTA($A$6:A21)</f>
        <v>16</v>
      </c>
      <c r="B22" s="177"/>
      <c r="C22" s="179" t="str">
        <f>IF($B22="","",VLOOKUP($B22,#REF!,2,0))</f>
        <v/>
      </c>
      <c r="D22" s="167" t="str">
        <f>IF($B22="","",VLOOKUP($B22,#REF!,4,0))</f>
        <v/>
      </c>
      <c r="E22" s="168"/>
      <c r="F22" s="169"/>
      <c r="G22" s="168"/>
      <c r="H22" s="169"/>
      <c r="I22" s="168">
        <f t="shared" si="5"/>
        <v>24</v>
      </c>
      <c r="J22" s="168"/>
      <c r="K22" s="168">
        <f t="shared" si="6"/>
        <v>24</v>
      </c>
      <c r="L22" s="168">
        <f t="shared" si="7"/>
        <v>0</v>
      </c>
      <c r="M22" s="168">
        <f t="shared" si="8"/>
        <v>36</v>
      </c>
      <c r="N22" s="168">
        <f t="shared" si="9"/>
        <v>36</v>
      </c>
      <c r="O22" s="168">
        <f t="shared" si="10"/>
        <v>4.5</v>
      </c>
      <c r="P22" s="170"/>
      <c r="Q22" s="171">
        <f t="shared" si="11"/>
        <v>3</v>
      </c>
    </row>
    <row r="23" spans="1:17" s="172" customFormat="1" ht="28.5" customHeight="1" x14ac:dyDescent="0.25">
      <c r="A23" s="71">
        <f>COUNTA($A$6:A22)</f>
        <v>17</v>
      </c>
      <c r="B23" s="177"/>
      <c r="C23" s="178" t="str">
        <f>IF($B23="","",VLOOKUP($B23,#REF!,2,0))</f>
        <v/>
      </c>
      <c r="D23" s="167" t="str">
        <f>IF($B23="","",VLOOKUP($B23,#REF!,4,0))</f>
        <v/>
      </c>
      <c r="E23" s="168"/>
      <c r="F23" s="169"/>
      <c r="G23" s="168"/>
      <c r="H23" s="169"/>
      <c r="I23" s="168">
        <f t="shared" si="5"/>
        <v>24</v>
      </c>
      <c r="J23" s="168"/>
      <c r="K23" s="168">
        <f t="shared" si="6"/>
        <v>24</v>
      </c>
      <c r="L23" s="168">
        <f t="shared" si="7"/>
        <v>0</v>
      </c>
      <c r="M23" s="168">
        <f t="shared" si="8"/>
        <v>36</v>
      </c>
      <c r="N23" s="168">
        <f t="shared" si="9"/>
        <v>36</v>
      </c>
      <c r="O23" s="168">
        <f t="shared" si="10"/>
        <v>4.5</v>
      </c>
      <c r="P23" s="170"/>
      <c r="Q23" s="171">
        <f t="shared" si="11"/>
        <v>3</v>
      </c>
    </row>
    <row r="24" spans="1:17" s="172" customFormat="1" ht="28.5" customHeight="1" x14ac:dyDescent="0.25">
      <c r="A24" s="71">
        <f>COUNTA($A$6:A23)</f>
        <v>18</v>
      </c>
      <c r="B24" s="177"/>
      <c r="C24" s="178" t="str">
        <f>IF($B24="","",VLOOKUP($B24,#REF!,2,0))</f>
        <v/>
      </c>
      <c r="D24" s="167" t="str">
        <f>IF($B24="","",VLOOKUP($B24,#REF!,4,0))</f>
        <v/>
      </c>
      <c r="E24" s="168"/>
      <c r="F24" s="169"/>
      <c r="G24" s="168"/>
      <c r="H24" s="169"/>
      <c r="I24" s="168">
        <f t="shared" si="5"/>
        <v>24</v>
      </c>
      <c r="J24" s="168"/>
      <c r="K24" s="168">
        <f t="shared" si="6"/>
        <v>24</v>
      </c>
      <c r="L24" s="168">
        <f t="shared" si="7"/>
        <v>0</v>
      </c>
      <c r="M24" s="168">
        <f t="shared" si="8"/>
        <v>36</v>
      </c>
      <c r="N24" s="168">
        <f t="shared" si="9"/>
        <v>36</v>
      </c>
      <c r="O24" s="168">
        <f t="shared" si="10"/>
        <v>4.5</v>
      </c>
      <c r="P24" s="170"/>
      <c r="Q24" s="171">
        <f t="shared" si="11"/>
        <v>3</v>
      </c>
    </row>
    <row r="25" spans="1:17" s="172" customFormat="1" ht="28.5" customHeight="1" x14ac:dyDescent="0.25">
      <c r="A25" s="71">
        <f>COUNTA($A$6:A24)</f>
        <v>19</v>
      </c>
      <c r="B25" s="177"/>
      <c r="C25" s="178" t="str">
        <f>IF($B25="","",VLOOKUP($B25,#REF!,2,0))</f>
        <v/>
      </c>
      <c r="D25" s="167" t="str">
        <f>IF($B25="","",VLOOKUP($B25,#REF!,4,0))</f>
        <v/>
      </c>
      <c r="E25" s="168"/>
      <c r="F25" s="169"/>
      <c r="G25" s="168"/>
      <c r="H25" s="169"/>
      <c r="I25" s="168">
        <f t="shared" si="5"/>
        <v>24</v>
      </c>
      <c r="J25" s="168"/>
      <c r="K25" s="168">
        <f t="shared" si="6"/>
        <v>24</v>
      </c>
      <c r="L25" s="168">
        <f t="shared" si="7"/>
        <v>0</v>
      </c>
      <c r="M25" s="168">
        <f t="shared" si="8"/>
        <v>36</v>
      </c>
      <c r="N25" s="168">
        <f t="shared" si="9"/>
        <v>36</v>
      </c>
      <c r="O25" s="168">
        <f t="shared" si="10"/>
        <v>4.5</v>
      </c>
      <c r="P25" s="170"/>
      <c r="Q25" s="171">
        <f t="shared" si="11"/>
        <v>3</v>
      </c>
    </row>
    <row r="26" spans="1:17" s="172" customFormat="1" ht="28.5" customHeight="1" x14ac:dyDescent="0.25">
      <c r="A26" s="71">
        <f>COUNTA($A$6:A25)</f>
        <v>20</v>
      </c>
      <c r="B26" s="177"/>
      <c r="C26" s="178" t="str">
        <f>IF($B26="","",VLOOKUP($B26,#REF!,2,0))</f>
        <v/>
      </c>
      <c r="D26" s="167" t="str">
        <f>IF($B26="","",VLOOKUP($B26,#REF!,4,0))</f>
        <v/>
      </c>
      <c r="E26" s="168"/>
      <c r="F26" s="169"/>
      <c r="G26" s="168"/>
      <c r="H26" s="169"/>
      <c r="I26" s="168">
        <f t="shared" si="5"/>
        <v>24</v>
      </c>
      <c r="J26" s="168"/>
      <c r="K26" s="168">
        <f t="shared" si="6"/>
        <v>24</v>
      </c>
      <c r="L26" s="168">
        <f t="shared" si="7"/>
        <v>0</v>
      </c>
      <c r="M26" s="168">
        <f t="shared" si="8"/>
        <v>36</v>
      </c>
      <c r="N26" s="168">
        <f t="shared" si="9"/>
        <v>36</v>
      </c>
      <c r="O26" s="168">
        <f t="shared" si="10"/>
        <v>4.5</v>
      </c>
      <c r="P26" s="170"/>
      <c r="Q26" s="171">
        <f t="shared" si="11"/>
        <v>3</v>
      </c>
    </row>
    <row r="27" spans="1:17" s="172" customFormat="1" ht="28.5" customHeight="1" x14ac:dyDescent="0.25">
      <c r="A27" s="71">
        <f>COUNTA($A$6:A26)</f>
        <v>21</v>
      </c>
      <c r="B27" s="180"/>
      <c r="C27" s="178" t="str">
        <f>IF($B27="","",VLOOKUP($B27,#REF!,2,0))</f>
        <v/>
      </c>
      <c r="D27" s="167" t="str">
        <f>IF($B27="","",VLOOKUP($B27,#REF!,4,0))</f>
        <v/>
      </c>
      <c r="E27" s="168"/>
      <c r="F27" s="169"/>
      <c r="G27" s="168"/>
      <c r="H27" s="169"/>
      <c r="I27" s="168">
        <f t="shared" si="5"/>
        <v>24</v>
      </c>
      <c r="J27" s="168"/>
      <c r="K27" s="168">
        <f t="shared" si="6"/>
        <v>24</v>
      </c>
      <c r="L27" s="168">
        <f t="shared" si="7"/>
        <v>0</v>
      </c>
      <c r="M27" s="168">
        <f t="shared" si="8"/>
        <v>36</v>
      </c>
      <c r="N27" s="168">
        <f t="shared" si="9"/>
        <v>36</v>
      </c>
      <c r="O27" s="168">
        <f t="shared" si="10"/>
        <v>4.5</v>
      </c>
      <c r="P27" s="170"/>
      <c r="Q27" s="171">
        <f t="shared" si="11"/>
        <v>3</v>
      </c>
    </row>
    <row r="28" spans="1:17" s="172" customFormat="1" ht="28.5" customHeight="1" x14ac:dyDescent="0.25">
      <c r="A28" s="71">
        <f>COUNTA($A$6:A27)</f>
        <v>22</v>
      </c>
      <c r="B28" s="177"/>
      <c r="C28" s="178" t="str">
        <f>IF($B28="","",VLOOKUP($B28,#REF!,2,0))</f>
        <v/>
      </c>
      <c r="D28" s="167" t="str">
        <f>IF($B28="","",VLOOKUP($B28,#REF!,4,0))</f>
        <v/>
      </c>
      <c r="E28" s="168"/>
      <c r="F28" s="169"/>
      <c r="G28" s="168"/>
      <c r="H28" s="169"/>
      <c r="I28" s="168">
        <f t="shared" si="5"/>
        <v>24</v>
      </c>
      <c r="J28" s="168"/>
      <c r="K28" s="168">
        <f t="shared" si="6"/>
        <v>24</v>
      </c>
      <c r="L28" s="168">
        <f t="shared" si="7"/>
        <v>0</v>
      </c>
      <c r="M28" s="168">
        <f t="shared" si="8"/>
        <v>36</v>
      </c>
      <c r="N28" s="168">
        <f t="shared" si="9"/>
        <v>36</v>
      </c>
      <c r="O28" s="168">
        <f t="shared" si="10"/>
        <v>4.5</v>
      </c>
      <c r="P28" s="170"/>
      <c r="Q28" s="171">
        <f t="shared" si="11"/>
        <v>3</v>
      </c>
    </row>
    <row r="29" spans="1:17" s="172" customFormat="1" ht="28.5" customHeight="1" x14ac:dyDescent="0.25">
      <c r="A29" s="71">
        <f>COUNTA($A$6:A28)</f>
        <v>23</v>
      </c>
      <c r="B29" s="177"/>
      <c r="C29" s="178" t="str">
        <f>IF($B29="","",VLOOKUP($B29,#REF!,2,0))</f>
        <v/>
      </c>
      <c r="D29" s="167" t="str">
        <f>IF($B29="","",VLOOKUP($B29,#REF!,4,0))</f>
        <v/>
      </c>
      <c r="E29" s="168"/>
      <c r="F29" s="169"/>
      <c r="G29" s="168"/>
      <c r="H29" s="169"/>
      <c r="I29" s="168">
        <f t="shared" si="5"/>
        <v>24</v>
      </c>
      <c r="J29" s="168"/>
      <c r="K29" s="168">
        <f t="shared" si="6"/>
        <v>24</v>
      </c>
      <c r="L29" s="168">
        <f t="shared" si="7"/>
        <v>0</v>
      </c>
      <c r="M29" s="168">
        <f t="shared" si="8"/>
        <v>36</v>
      </c>
      <c r="N29" s="168">
        <f t="shared" si="9"/>
        <v>36</v>
      </c>
      <c r="O29" s="168">
        <f t="shared" si="10"/>
        <v>4.5</v>
      </c>
      <c r="P29" s="170"/>
      <c r="Q29" s="171">
        <f t="shared" si="11"/>
        <v>3</v>
      </c>
    </row>
    <row r="30" spans="1:17" s="172" customFormat="1" ht="28.5" customHeight="1" x14ac:dyDescent="0.25">
      <c r="A30" s="71">
        <f>COUNTA($A$6:A29)</f>
        <v>24</v>
      </c>
      <c r="B30" s="177"/>
      <c r="C30" s="178" t="str">
        <f>IF($B30="","",VLOOKUP($B30,#REF!,2,0))</f>
        <v/>
      </c>
      <c r="D30" s="167" t="str">
        <f>IF($B30="","",VLOOKUP($B30,#REF!,4,0))</f>
        <v/>
      </c>
      <c r="E30" s="168"/>
      <c r="F30" s="169"/>
      <c r="G30" s="168"/>
      <c r="H30" s="169"/>
      <c r="I30" s="168">
        <f t="shared" si="5"/>
        <v>24</v>
      </c>
      <c r="J30" s="168"/>
      <c r="K30" s="168">
        <f t="shared" si="6"/>
        <v>24</v>
      </c>
      <c r="L30" s="168">
        <f t="shared" si="7"/>
        <v>0</v>
      </c>
      <c r="M30" s="168">
        <f t="shared" si="8"/>
        <v>36</v>
      </c>
      <c r="N30" s="168">
        <f t="shared" si="9"/>
        <v>36</v>
      </c>
      <c r="O30" s="168">
        <f t="shared" si="10"/>
        <v>4.5</v>
      </c>
      <c r="P30" s="170"/>
      <c r="Q30" s="171">
        <f t="shared" si="11"/>
        <v>3</v>
      </c>
    </row>
    <row r="31" spans="1:17" s="172" customFormat="1" ht="28.5" customHeight="1" x14ac:dyDescent="0.25">
      <c r="A31" s="71">
        <f>COUNTA($A$6:A30)</f>
        <v>25</v>
      </c>
      <c r="B31" s="177"/>
      <c r="C31" s="178" t="str">
        <f>IF($B31="","",VLOOKUP($B31,#REF!,2,0))</f>
        <v/>
      </c>
      <c r="D31" s="167" t="str">
        <f>IF($B31="","",VLOOKUP($B31,#REF!,4,0))</f>
        <v/>
      </c>
      <c r="E31" s="168"/>
      <c r="F31" s="169"/>
      <c r="G31" s="168"/>
      <c r="H31" s="169"/>
      <c r="I31" s="168">
        <f t="shared" si="5"/>
        <v>24</v>
      </c>
      <c r="J31" s="168"/>
      <c r="K31" s="168">
        <f t="shared" si="6"/>
        <v>24</v>
      </c>
      <c r="L31" s="168">
        <f t="shared" si="7"/>
        <v>0</v>
      </c>
      <c r="M31" s="168">
        <f t="shared" si="8"/>
        <v>36</v>
      </c>
      <c r="N31" s="168">
        <f t="shared" si="9"/>
        <v>36</v>
      </c>
      <c r="O31" s="168">
        <f t="shared" si="10"/>
        <v>4.5</v>
      </c>
      <c r="P31" s="170"/>
      <c r="Q31" s="171">
        <f t="shared" si="11"/>
        <v>3</v>
      </c>
    </row>
    <row r="32" spans="1:17" s="172" customFormat="1" ht="28.5" customHeight="1" x14ac:dyDescent="0.25">
      <c r="A32" s="71">
        <f>COUNTA($A$6:A31)</f>
        <v>26</v>
      </c>
      <c r="B32" s="177"/>
      <c r="C32" s="178" t="str">
        <f>IF($B32="","",VLOOKUP($B32,#REF!,2,0))</f>
        <v/>
      </c>
      <c r="D32" s="167" t="str">
        <f>IF($B32="","",VLOOKUP($B32,#REF!,4,0))</f>
        <v/>
      </c>
      <c r="E32" s="168"/>
      <c r="F32" s="169"/>
      <c r="G32" s="168"/>
      <c r="H32" s="169"/>
      <c r="I32" s="168">
        <f t="shared" si="5"/>
        <v>24</v>
      </c>
      <c r="J32" s="168"/>
      <c r="K32" s="168">
        <f t="shared" si="6"/>
        <v>24</v>
      </c>
      <c r="L32" s="168">
        <f t="shared" si="7"/>
        <v>0</v>
      </c>
      <c r="M32" s="168">
        <f t="shared" si="8"/>
        <v>36</v>
      </c>
      <c r="N32" s="168">
        <f t="shared" si="9"/>
        <v>36</v>
      </c>
      <c r="O32" s="168">
        <f t="shared" si="10"/>
        <v>4.5</v>
      </c>
      <c r="P32" s="170"/>
      <c r="Q32" s="171">
        <f t="shared" si="11"/>
        <v>3</v>
      </c>
    </row>
    <row r="33" spans="1:17" s="172" customFormat="1" ht="28.5" customHeight="1" x14ac:dyDescent="0.25">
      <c r="A33" s="71">
        <f>COUNTA($A$6:A32)</f>
        <v>27</v>
      </c>
      <c r="B33" s="177"/>
      <c r="C33" s="178" t="str">
        <f>IF($B33="","",VLOOKUP($B33,#REF!,2,0))</f>
        <v/>
      </c>
      <c r="D33" s="167" t="str">
        <f>IF($B33="","",VLOOKUP($B33,#REF!,4,0))</f>
        <v/>
      </c>
      <c r="E33" s="168"/>
      <c r="F33" s="169"/>
      <c r="G33" s="168"/>
      <c r="H33" s="169"/>
      <c r="I33" s="168">
        <f t="shared" si="5"/>
        <v>24</v>
      </c>
      <c r="J33" s="168"/>
      <c r="K33" s="168">
        <f t="shared" si="6"/>
        <v>24</v>
      </c>
      <c r="L33" s="168">
        <f t="shared" si="7"/>
        <v>0</v>
      </c>
      <c r="M33" s="168">
        <f t="shared" si="8"/>
        <v>36</v>
      </c>
      <c r="N33" s="168">
        <f t="shared" si="9"/>
        <v>36</v>
      </c>
      <c r="O33" s="168">
        <f t="shared" si="10"/>
        <v>4.5</v>
      </c>
      <c r="P33" s="170"/>
      <c r="Q33" s="171">
        <f t="shared" si="11"/>
        <v>3</v>
      </c>
    </row>
    <row r="34" spans="1:17" s="172" customFormat="1" ht="28.5" customHeight="1" x14ac:dyDescent="0.25">
      <c r="A34" s="71">
        <f>COUNTA($A$6:A33)</f>
        <v>28</v>
      </c>
      <c r="B34" s="177"/>
      <c r="C34" s="178" t="str">
        <f>IF($B34="","",VLOOKUP($B34,#REF!,2,0))</f>
        <v/>
      </c>
      <c r="D34" s="167" t="str">
        <f>IF($B34="","",VLOOKUP($B34,#REF!,4,0))</f>
        <v/>
      </c>
      <c r="E34" s="168"/>
      <c r="F34" s="169"/>
      <c r="G34" s="168"/>
      <c r="H34" s="169"/>
      <c r="I34" s="168">
        <f t="shared" si="5"/>
        <v>24</v>
      </c>
      <c r="J34" s="168"/>
      <c r="K34" s="168">
        <f t="shared" si="6"/>
        <v>24</v>
      </c>
      <c r="L34" s="168">
        <f t="shared" si="7"/>
        <v>0</v>
      </c>
      <c r="M34" s="168">
        <f t="shared" si="8"/>
        <v>36</v>
      </c>
      <c r="N34" s="168">
        <f t="shared" si="9"/>
        <v>36</v>
      </c>
      <c r="O34" s="168">
        <f t="shared" si="10"/>
        <v>4.5</v>
      </c>
      <c r="P34" s="170"/>
      <c r="Q34" s="171">
        <f t="shared" si="11"/>
        <v>3</v>
      </c>
    </row>
    <row r="35" spans="1:17" s="172" customFormat="1" ht="28.5" customHeight="1" x14ac:dyDescent="0.25">
      <c r="A35" s="71">
        <f>COUNTA($A$6:A34)</f>
        <v>29</v>
      </c>
      <c r="B35" s="177"/>
      <c r="C35" s="181" t="str">
        <f>IF($B35="","",VLOOKUP($B35,#REF!,2,0))</f>
        <v/>
      </c>
      <c r="D35" s="167" t="str">
        <f>IF($B35="","",VLOOKUP($B35,#REF!,4,0))</f>
        <v/>
      </c>
      <c r="E35" s="168"/>
      <c r="F35" s="169"/>
      <c r="G35" s="168"/>
      <c r="H35" s="169"/>
      <c r="I35" s="168">
        <f t="shared" si="5"/>
        <v>24</v>
      </c>
      <c r="J35" s="168"/>
      <c r="K35" s="168">
        <f t="shared" si="6"/>
        <v>24</v>
      </c>
      <c r="L35" s="168">
        <f t="shared" si="7"/>
        <v>0</v>
      </c>
      <c r="M35" s="168">
        <f t="shared" si="8"/>
        <v>36</v>
      </c>
      <c r="N35" s="168">
        <f t="shared" si="9"/>
        <v>36</v>
      </c>
      <c r="O35" s="168">
        <f t="shared" si="10"/>
        <v>4.5</v>
      </c>
      <c r="P35" s="170"/>
      <c r="Q35" s="171">
        <f t="shared" si="11"/>
        <v>3</v>
      </c>
    </row>
    <row r="36" spans="1:17" s="172" customFormat="1" ht="28.5" customHeight="1" x14ac:dyDescent="0.25">
      <c r="A36" s="71">
        <f>COUNTA($A$6:A35)</f>
        <v>30</v>
      </c>
      <c r="B36" s="177"/>
      <c r="C36" s="182" t="str">
        <f>IF($B36="","",VLOOKUP($B36,#REF!,2,0))</f>
        <v/>
      </c>
      <c r="D36" s="167" t="str">
        <f>IF($B36="","",VLOOKUP($B36,#REF!,4,0))</f>
        <v/>
      </c>
      <c r="E36" s="168"/>
      <c r="F36" s="169"/>
      <c r="G36" s="168"/>
      <c r="H36" s="169"/>
      <c r="I36" s="168">
        <f t="shared" si="5"/>
        <v>24</v>
      </c>
      <c r="J36" s="168"/>
      <c r="K36" s="168">
        <f t="shared" si="6"/>
        <v>24</v>
      </c>
      <c r="L36" s="168">
        <f t="shared" si="7"/>
        <v>0</v>
      </c>
      <c r="M36" s="168">
        <f t="shared" si="8"/>
        <v>36</v>
      </c>
      <c r="N36" s="168">
        <f t="shared" si="9"/>
        <v>36</v>
      </c>
      <c r="O36" s="168">
        <f t="shared" si="10"/>
        <v>4.5</v>
      </c>
      <c r="P36" s="170"/>
      <c r="Q36" s="171">
        <f t="shared" si="11"/>
        <v>3</v>
      </c>
    </row>
    <row r="37" spans="1:17" s="172" customFormat="1" ht="28.5" customHeight="1" x14ac:dyDescent="0.25">
      <c r="A37" s="71">
        <f>COUNTA($A$6:A36)</f>
        <v>31</v>
      </c>
      <c r="B37" s="177"/>
      <c r="C37" s="178" t="str">
        <f>IF($B37="","",VLOOKUP($B37,#REF!,2,0))</f>
        <v/>
      </c>
      <c r="D37" s="167" t="str">
        <f>IF($B37="","",VLOOKUP($B37,#REF!,4,0))</f>
        <v/>
      </c>
      <c r="E37" s="168"/>
      <c r="F37" s="169"/>
      <c r="G37" s="168"/>
      <c r="H37" s="169"/>
      <c r="I37" s="168">
        <f t="shared" si="5"/>
        <v>24</v>
      </c>
      <c r="J37" s="168"/>
      <c r="K37" s="168">
        <f t="shared" si="6"/>
        <v>24</v>
      </c>
      <c r="L37" s="168">
        <f t="shared" si="7"/>
        <v>0</v>
      </c>
      <c r="M37" s="168">
        <f t="shared" si="8"/>
        <v>36</v>
      </c>
      <c r="N37" s="168">
        <f t="shared" si="9"/>
        <v>36</v>
      </c>
      <c r="O37" s="168">
        <f t="shared" si="10"/>
        <v>4.5</v>
      </c>
      <c r="P37" s="170"/>
      <c r="Q37" s="171">
        <f t="shared" si="11"/>
        <v>3</v>
      </c>
    </row>
    <row r="38" spans="1:17" s="172" customFormat="1" ht="28.5" customHeight="1" x14ac:dyDescent="0.25">
      <c r="A38" s="71">
        <f>COUNTA($A$6:A37)</f>
        <v>32</v>
      </c>
      <c r="B38" s="177"/>
      <c r="C38" s="178" t="str">
        <f>IF($B38="","",VLOOKUP($B38,#REF!,2,0))</f>
        <v/>
      </c>
      <c r="D38" s="167" t="str">
        <f>IF($B38="","",VLOOKUP($B38,#REF!,4,0))</f>
        <v/>
      </c>
      <c r="E38" s="168"/>
      <c r="F38" s="169"/>
      <c r="G38" s="168"/>
      <c r="H38" s="169"/>
      <c r="I38" s="168">
        <f t="shared" si="5"/>
        <v>24</v>
      </c>
      <c r="J38" s="168"/>
      <c r="K38" s="168">
        <f t="shared" si="6"/>
        <v>24</v>
      </c>
      <c r="L38" s="168">
        <f t="shared" si="7"/>
        <v>0</v>
      </c>
      <c r="M38" s="168">
        <f t="shared" si="8"/>
        <v>36</v>
      </c>
      <c r="N38" s="168">
        <f t="shared" si="9"/>
        <v>36</v>
      </c>
      <c r="O38" s="168">
        <f t="shared" si="10"/>
        <v>4.5</v>
      </c>
      <c r="P38" s="170"/>
      <c r="Q38" s="171">
        <f t="shared" si="11"/>
        <v>3</v>
      </c>
    </row>
    <row r="39" spans="1:17" s="172" customFormat="1" ht="28.5" customHeight="1" x14ac:dyDescent="0.25">
      <c r="A39" s="71">
        <f>COUNTA($A$6:A38)</f>
        <v>33</v>
      </c>
      <c r="B39" s="177"/>
      <c r="C39" s="178" t="str">
        <f>IF($B39="","",VLOOKUP($B39,#REF!,2,0))</f>
        <v/>
      </c>
      <c r="D39" s="167" t="str">
        <f>IF($B39="","",VLOOKUP($B39,#REF!,4,0))</f>
        <v/>
      </c>
      <c r="E39" s="168"/>
      <c r="F39" s="169"/>
      <c r="G39" s="168"/>
      <c r="H39" s="169"/>
      <c r="I39" s="168">
        <f t="shared" si="5"/>
        <v>24</v>
      </c>
      <c r="J39" s="168"/>
      <c r="K39" s="168">
        <f t="shared" si="6"/>
        <v>24</v>
      </c>
      <c r="L39" s="168">
        <f t="shared" si="7"/>
        <v>0</v>
      </c>
      <c r="M39" s="168">
        <f t="shared" si="8"/>
        <v>36</v>
      </c>
      <c r="N39" s="168">
        <f t="shared" si="9"/>
        <v>36</v>
      </c>
      <c r="O39" s="168">
        <f t="shared" si="10"/>
        <v>4.5</v>
      </c>
      <c r="P39" s="170"/>
      <c r="Q39" s="171">
        <f t="shared" si="11"/>
        <v>3</v>
      </c>
    </row>
    <row r="40" spans="1:17" s="172" customFormat="1" ht="28.5" customHeight="1" x14ac:dyDescent="0.25">
      <c r="A40" s="71">
        <f>COUNTA($A$6:A39)</f>
        <v>34</v>
      </c>
      <c r="B40" s="177"/>
      <c r="C40" s="178" t="str">
        <f>IF($B40="","",VLOOKUP($B40,#REF!,2,0))</f>
        <v/>
      </c>
      <c r="D40" s="167" t="str">
        <f>IF($B40="","",VLOOKUP($B40,#REF!,4,0))</f>
        <v/>
      </c>
      <c r="E40" s="168"/>
      <c r="F40" s="169"/>
      <c r="G40" s="168"/>
      <c r="H40" s="169"/>
      <c r="I40" s="168">
        <f t="shared" si="5"/>
        <v>24</v>
      </c>
      <c r="J40" s="168"/>
      <c r="K40" s="168">
        <f t="shared" si="6"/>
        <v>24</v>
      </c>
      <c r="L40" s="168">
        <f t="shared" si="7"/>
        <v>0</v>
      </c>
      <c r="M40" s="168">
        <f t="shared" si="8"/>
        <v>36</v>
      </c>
      <c r="N40" s="168">
        <f t="shared" si="9"/>
        <v>36</v>
      </c>
      <c r="O40" s="168">
        <f t="shared" si="10"/>
        <v>4.5</v>
      </c>
      <c r="P40" s="170"/>
      <c r="Q40" s="171">
        <f t="shared" si="11"/>
        <v>3</v>
      </c>
    </row>
    <row r="41" spans="1:17" s="172" customFormat="1" ht="28.5" customHeight="1" x14ac:dyDescent="0.25">
      <c r="A41" s="71">
        <f>COUNTA($A$6:A40)</f>
        <v>35</v>
      </c>
      <c r="B41" s="177"/>
      <c r="C41" s="178" t="str">
        <f>IF($B41="","",VLOOKUP($B41,#REF!,2,0))</f>
        <v/>
      </c>
      <c r="D41" s="167" t="str">
        <f>IF($B41="","",VLOOKUP($B41,#REF!,4,0))</f>
        <v/>
      </c>
      <c r="E41" s="168"/>
      <c r="F41" s="169"/>
      <c r="G41" s="168"/>
      <c r="H41" s="169"/>
      <c r="I41" s="168">
        <f t="shared" si="5"/>
        <v>24</v>
      </c>
      <c r="J41" s="168"/>
      <c r="K41" s="168">
        <f t="shared" si="6"/>
        <v>24</v>
      </c>
      <c r="L41" s="168">
        <f t="shared" si="7"/>
        <v>0</v>
      </c>
      <c r="M41" s="168">
        <f t="shared" si="8"/>
        <v>36</v>
      </c>
      <c r="N41" s="168">
        <f t="shared" si="9"/>
        <v>36</v>
      </c>
      <c r="O41" s="168">
        <f t="shared" si="10"/>
        <v>4.5</v>
      </c>
      <c r="P41" s="170"/>
      <c r="Q41" s="171">
        <f t="shared" si="11"/>
        <v>3</v>
      </c>
    </row>
    <row r="42" spans="1:17" s="172" customFormat="1" ht="28.5" customHeight="1" x14ac:dyDescent="0.25">
      <c r="A42" s="71">
        <f>COUNTA($A$6:A41)</f>
        <v>36</v>
      </c>
      <c r="B42" s="177"/>
      <c r="C42" s="178" t="str">
        <f>IF($B42="","",VLOOKUP($B42,#REF!,2,0))</f>
        <v/>
      </c>
      <c r="D42" s="167" t="str">
        <f>IF($B42="","",VLOOKUP($B42,#REF!,4,0))</f>
        <v/>
      </c>
      <c r="E42" s="168"/>
      <c r="F42" s="169"/>
      <c r="G42" s="168"/>
      <c r="H42" s="169"/>
      <c r="I42" s="168">
        <f t="shared" si="5"/>
        <v>24</v>
      </c>
      <c r="J42" s="168"/>
      <c r="K42" s="168">
        <f t="shared" si="6"/>
        <v>24</v>
      </c>
      <c r="L42" s="168">
        <f t="shared" si="7"/>
        <v>0</v>
      </c>
      <c r="M42" s="168">
        <f t="shared" si="8"/>
        <v>36</v>
      </c>
      <c r="N42" s="168">
        <f t="shared" si="9"/>
        <v>36</v>
      </c>
      <c r="O42" s="168">
        <f t="shared" si="10"/>
        <v>4.5</v>
      </c>
      <c r="P42" s="170"/>
      <c r="Q42" s="171">
        <f t="shared" si="11"/>
        <v>3</v>
      </c>
    </row>
    <row r="43" spans="1:17" s="172" customFormat="1" ht="28.5" customHeight="1" x14ac:dyDescent="0.25">
      <c r="A43" s="71">
        <f>COUNTA($A$6:A42)</f>
        <v>37</v>
      </c>
      <c r="B43" s="177"/>
      <c r="C43" s="178" t="str">
        <f>IF($B43="","",VLOOKUP($B43,#REF!,2,0))</f>
        <v/>
      </c>
      <c r="D43" s="167" t="str">
        <f>IF($B43="","",VLOOKUP($B43,#REF!,4,0))</f>
        <v/>
      </c>
      <c r="E43" s="168"/>
      <c r="F43" s="169"/>
      <c r="G43" s="168"/>
      <c r="H43" s="169"/>
      <c r="I43" s="168">
        <f t="shared" si="5"/>
        <v>24</v>
      </c>
      <c r="J43" s="168"/>
      <c r="K43" s="168">
        <f t="shared" si="6"/>
        <v>24</v>
      </c>
      <c r="L43" s="168">
        <f t="shared" si="7"/>
        <v>0</v>
      </c>
      <c r="M43" s="168">
        <f t="shared" si="8"/>
        <v>36</v>
      </c>
      <c r="N43" s="168">
        <f t="shared" si="9"/>
        <v>36</v>
      </c>
      <c r="O43" s="168">
        <f t="shared" si="10"/>
        <v>4.5</v>
      </c>
      <c r="P43" s="170"/>
      <c r="Q43" s="171">
        <f t="shared" si="11"/>
        <v>3</v>
      </c>
    </row>
    <row r="44" spans="1:17" s="172" customFormat="1" ht="28.5" customHeight="1" x14ac:dyDescent="0.25">
      <c r="A44" s="71">
        <f>COUNTA($A$6:A43)</f>
        <v>38</v>
      </c>
      <c r="B44" s="177"/>
      <c r="C44" s="178" t="str">
        <f>IF($B44="","",VLOOKUP($B44,#REF!,2,0))</f>
        <v/>
      </c>
      <c r="D44" s="167" t="str">
        <f>IF($B44="","",VLOOKUP($B44,#REF!,4,0))</f>
        <v/>
      </c>
      <c r="E44" s="168"/>
      <c r="F44" s="169"/>
      <c r="G44" s="168"/>
      <c r="H44" s="169"/>
      <c r="I44" s="168">
        <f t="shared" si="5"/>
        <v>24</v>
      </c>
      <c r="J44" s="168"/>
      <c r="K44" s="168">
        <f t="shared" si="6"/>
        <v>24</v>
      </c>
      <c r="L44" s="168">
        <f t="shared" si="7"/>
        <v>0</v>
      </c>
      <c r="M44" s="168">
        <f t="shared" si="8"/>
        <v>36</v>
      </c>
      <c r="N44" s="168">
        <f t="shared" si="9"/>
        <v>36</v>
      </c>
      <c r="O44" s="168">
        <f t="shared" si="10"/>
        <v>4.5</v>
      </c>
      <c r="P44" s="170"/>
      <c r="Q44" s="171">
        <f t="shared" si="11"/>
        <v>3</v>
      </c>
    </row>
    <row r="45" spans="1:17" s="172" customFormat="1" ht="28.5" customHeight="1" x14ac:dyDescent="0.25">
      <c r="A45" s="71">
        <f>COUNTA($A$6:A44)</f>
        <v>39</v>
      </c>
      <c r="B45" s="177"/>
      <c r="C45" s="178" t="str">
        <f>IF($B45="","",VLOOKUP($B45,#REF!,2,0))</f>
        <v/>
      </c>
      <c r="D45" s="167" t="str">
        <f>IF($B45="","",VLOOKUP($B45,#REF!,4,0))</f>
        <v/>
      </c>
      <c r="E45" s="168"/>
      <c r="F45" s="169"/>
      <c r="G45" s="168"/>
      <c r="H45" s="169"/>
      <c r="I45" s="168">
        <f t="shared" si="5"/>
        <v>24</v>
      </c>
      <c r="J45" s="168"/>
      <c r="K45" s="168">
        <f t="shared" si="6"/>
        <v>24</v>
      </c>
      <c r="L45" s="168">
        <f t="shared" si="7"/>
        <v>0</v>
      </c>
      <c r="M45" s="168">
        <f t="shared" si="8"/>
        <v>36</v>
      </c>
      <c r="N45" s="168">
        <f t="shared" si="9"/>
        <v>36</v>
      </c>
      <c r="O45" s="168">
        <f t="shared" si="10"/>
        <v>4.5</v>
      </c>
      <c r="P45" s="170"/>
      <c r="Q45" s="171">
        <f t="shared" si="11"/>
        <v>3</v>
      </c>
    </row>
    <row r="46" spans="1:17" s="172" customFormat="1" ht="28.5" customHeight="1" x14ac:dyDescent="0.25">
      <c r="A46" s="71">
        <f>COUNTA($A$6:A45)</f>
        <v>40</v>
      </c>
      <c r="B46" s="177"/>
      <c r="C46" s="178" t="str">
        <f>IF($B46="","",VLOOKUP($B46,#REF!,2,0))</f>
        <v/>
      </c>
      <c r="D46" s="167" t="str">
        <f>IF($B46="","",VLOOKUP($B46,#REF!,4,0))</f>
        <v/>
      </c>
      <c r="E46" s="168"/>
      <c r="F46" s="169"/>
      <c r="G46" s="168"/>
      <c r="H46" s="169"/>
      <c r="I46" s="168">
        <f t="shared" si="5"/>
        <v>24</v>
      </c>
      <c r="J46" s="168"/>
      <c r="K46" s="168">
        <f t="shared" si="6"/>
        <v>24</v>
      </c>
      <c r="L46" s="168">
        <f t="shared" si="7"/>
        <v>0</v>
      </c>
      <c r="M46" s="168">
        <f t="shared" si="8"/>
        <v>36</v>
      </c>
      <c r="N46" s="168">
        <f t="shared" si="9"/>
        <v>36</v>
      </c>
      <c r="O46" s="168">
        <f t="shared" si="10"/>
        <v>4.5</v>
      </c>
      <c r="P46" s="170"/>
      <c r="Q46" s="171">
        <f t="shared" si="11"/>
        <v>3</v>
      </c>
    </row>
    <row r="47" spans="1:17" s="172" customFormat="1" ht="28.5" customHeight="1" x14ac:dyDescent="0.25">
      <c r="A47" s="71">
        <f>COUNTA($A$6:A46)</f>
        <v>41</v>
      </c>
      <c r="B47" s="177"/>
      <c r="C47" s="178" t="str">
        <f>IF($B47="","",VLOOKUP($B47,#REF!,2,0))</f>
        <v/>
      </c>
      <c r="D47" s="167" t="str">
        <f>IF($B47="","",VLOOKUP($B47,#REF!,4,0))</f>
        <v/>
      </c>
      <c r="E47" s="168"/>
      <c r="F47" s="169"/>
      <c r="G47" s="168"/>
      <c r="H47" s="169"/>
      <c r="I47" s="168">
        <f t="shared" si="5"/>
        <v>24</v>
      </c>
      <c r="J47" s="168"/>
      <c r="K47" s="168">
        <f t="shared" si="6"/>
        <v>24</v>
      </c>
      <c r="L47" s="168">
        <f t="shared" si="7"/>
        <v>0</v>
      </c>
      <c r="M47" s="168">
        <f t="shared" si="8"/>
        <v>36</v>
      </c>
      <c r="N47" s="168">
        <f t="shared" si="9"/>
        <v>36</v>
      </c>
      <c r="O47" s="168">
        <f t="shared" si="10"/>
        <v>4.5</v>
      </c>
      <c r="P47" s="170"/>
      <c r="Q47" s="171">
        <f t="shared" si="11"/>
        <v>3</v>
      </c>
    </row>
    <row r="48" spans="1:17" s="172" customFormat="1" ht="28.5" customHeight="1" x14ac:dyDescent="0.25">
      <c r="A48" s="71">
        <f>COUNTA($A$6:A47)</f>
        <v>42</v>
      </c>
      <c r="B48" s="177"/>
      <c r="C48" s="178" t="str">
        <f>IF($B48="","",VLOOKUP($B48,#REF!,2,0))</f>
        <v/>
      </c>
      <c r="D48" s="167" t="str">
        <f>IF($B48="","",VLOOKUP($B48,#REF!,4,0))</f>
        <v/>
      </c>
      <c r="E48" s="168"/>
      <c r="F48" s="169"/>
      <c r="G48" s="168"/>
      <c r="H48" s="169"/>
      <c r="I48" s="168">
        <f t="shared" si="5"/>
        <v>24</v>
      </c>
      <c r="J48" s="168"/>
      <c r="K48" s="168">
        <f t="shared" si="6"/>
        <v>24</v>
      </c>
      <c r="L48" s="168">
        <f t="shared" si="7"/>
        <v>0</v>
      </c>
      <c r="M48" s="168">
        <f t="shared" si="8"/>
        <v>36</v>
      </c>
      <c r="N48" s="168">
        <f t="shared" si="9"/>
        <v>36</v>
      </c>
      <c r="O48" s="168">
        <f t="shared" si="10"/>
        <v>4.5</v>
      </c>
      <c r="P48" s="170"/>
      <c r="Q48" s="171">
        <f t="shared" si="11"/>
        <v>3</v>
      </c>
    </row>
    <row r="49" spans="1:17" s="172" customFormat="1" ht="28.5" customHeight="1" x14ac:dyDescent="0.25">
      <c r="A49" s="71">
        <f>COUNTA($A$6:A48)</f>
        <v>43</v>
      </c>
      <c r="B49" s="183"/>
      <c r="C49" s="178" t="str">
        <f>IF($B49="","",VLOOKUP($B49,#REF!,2,0))</f>
        <v/>
      </c>
      <c r="D49" s="167" t="str">
        <f>IF($B49="","",VLOOKUP($B49,#REF!,4,0))</f>
        <v/>
      </c>
      <c r="E49" s="168"/>
      <c r="F49" s="169"/>
      <c r="G49" s="168"/>
      <c r="H49" s="169"/>
      <c r="I49" s="168">
        <f t="shared" si="5"/>
        <v>24</v>
      </c>
      <c r="J49" s="168"/>
      <c r="K49" s="168">
        <f t="shared" si="6"/>
        <v>24</v>
      </c>
      <c r="L49" s="168">
        <f t="shared" si="7"/>
        <v>0</v>
      </c>
      <c r="M49" s="168">
        <f t="shared" si="8"/>
        <v>36</v>
      </c>
      <c r="N49" s="168">
        <f t="shared" si="9"/>
        <v>36</v>
      </c>
      <c r="O49" s="168">
        <f t="shared" si="10"/>
        <v>4.5</v>
      </c>
      <c r="P49" s="170"/>
      <c r="Q49" s="171">
        <f t="shared" si="11"/>
        <v>3</v>
      </c>
    </row>
    <row r="50" spans="1:17" s="172" customFormat="1" ht="28.5" customHeight="1" x14ac:dyDescent="0.25">
      <c r="A50" s="71">
        <f>COUNTA($A$6:A49)</f>
        <v>44</v>
      </c>
      <c r="B50" s="184"/>
      <c r="C50" s="178" t="str">
        <f>IF($B50="","",VLOOKUP($B50,#REF!,2,0))</f>
        <v/>
      </c>
      <c r="D50" s="167" t="str">
        <f>IF($B50="","",VLOOKUP($B50,#REF!,4,0))</f>
        <v/>
      </c>
      <c r="E50" s="168"/>
      <c r="F50" s="169"/>
      <c r="G50" s="168"/>
      <c r="H50" s="169"/>
      <c r="I50" s="168">
        <f t="shared" si="5"/>
        <v>24</v>
      </c>
      <c r="J50" s="168"/>
      <c r="K50" s="168">
        <f t="shared" si="6"/>
        <v>24</v>
      </c>
      <c r="L50" s="168">
        <f t="shared" si="7"/>
        <v>0</v>
      </c>
      <c r="M50" s="168">
        <f t="shared" si="8"/>
        <v>36</v>
      </c>
      <c r="N50" s="168">
        <f t="shared" si="9"/>
        <v>36</v>
      </c>
      <c r="O50" s="168">
        <f t="shared" si="10"/>
        <v>4.5</v>
      </c>
      <c r="P50" s="170"/>
      <c r="Q50" s="171">
        <f t="shared" si="11"/>
        <v>3</v>
      </c>
    </row>
    <row r="51" spans="1:17" s="172" customFormat="1" ht="28.5" customHeight="1" x14ac:dyDescent="0.25">
      <c r="A51" s="71">
        <f>COUNTA($A$6:A50)</f>
        <v>45</v>
      </c>
      <c r="B51" s="184"/>
      <c r="C51" s="178" t="str">
        <f>IF($B51="","",VLOOKUP($B51,#REF!,2,0))</f>
        <v/>
      </c>
      <c r="D51" s="167" t="str">
        <f>IF($B51="","",VLOOKUP($B51,#REF!,4,0))</f>
        <v/>
      </c>
      <c r="E51" s="168"/>
      <c r="F51" s="169"/>
      <c r="G51" s="168"/>
      <c r="H51" s="169"/>
      <c r="I51" s="168">
        <f t="shared" si="5"/>
        <v>24</v>
      </c>
      <c r="J51" s="168"/>
      <c r="K51" s="168">
        <f t="shared" si="6"/>
        <v>24</v>
      </c>
      <c r="L51" s="168">
        <f t="shared" si="7"/>
        <v>0</v>
      </c>
      <c r="M51" s="168">
        <f t="shared" si="8"/>
        <v>36</v>
      </c>
      <c r="N51" s="168">
        <f t="shared" si="9"/>
        <v>36</v>
      </c>
      <c r="O51" s="168">
        <f t="shared" si="10"/>
        <v>4.5</v>
      </c>
      <c r="P51" s="170"/>
      <c r="Q51" s="171">
        <f t="shared" si="11"/>
        <v>3</v>
      </c>
    </row>
    <row r="52" spans="1:17" s="172" customFormat="1" ht="28.5" customHeight="1" x14ac:dyDescent="0.25">
      <c r="A52" s="71">
        <f>COUNTA($A$6:A51)</f>
        <v>46</v>
      </c>
      <c r="B52" s="184"/>
      <c r="C52" s="178" t="str">
        <f>IF($B52="","",VLOOKUP($B52,#REF!,2,0))</f>
        <v/>
      </c>
      <c r="D52" s="167" t="str">
        <f>IF($B52="","",VLOOKUP($B52,#REF!,4,0))</f>
        <v/>
      </c>
      <c r="E52" s="168"/>
      <c r="F52" s="169"/>
      <c r="G52" s="168"/>
      <c r="H52" s="169"/>
      <c r="I52" s="168">
        <f t="shared" si="5"/>
        <v>24</v>
      </c>
      <c r="J52" s="168"/>
      <c r="K52" s="168">
        <f t="shared" si="6"/>
        <v>24</v>
      </c>
      <c r="L52" s="168">
        <f t="shared" si="7"/>
        <v>0</v>
      </c>
      <c r="M52" s="168">
        <f t="shared" si="8"/>
        <v>36</v>
      </c>
      <c r="N52" s="168">
        <f t="shared" si="9"/>
        <v>36</v>
      </c>
      <c r="O52" s="168">
        <f t="shared" si="10"/>
        <v>4.5</v>
      </c>
      <c r="P52" s="170"/>
      <c r="Q52" s="171">
        <f t="shared" si="11"/>
        <v>3</v>
      </c>
    </row>
    <row r="53" spans="1:17" s="172" customFormat="1" ht="28.5" customHeight="1" x14ac:dyDescent="0.25">
      <c r="A53" s="71">
        <f>COUNTA($A$6:A52)</f>
        <v>47</v>
      </c>
      <c r="B53" s="184"/>
      <c r="C53" s="178" t="str">
        <f>IF($B53="","",VLOOKUP($B53,#REF!,2,0))</f>
        <v/>
      </c>
      <c r="D53" s="167" t="str">
        <f>IF($B53="","",VLOOKUP($B53,#REF!,4,0))</f>
        <v/>
      </c>
      <c r="E53" s="168"/>
      <c r="F53" s="169"/>
      <c r="G53" s="168"/>
      <c r="H53" s="169"/>
      <c r="I53" s="168">
        <f t="shared" si="5"/>
        <v>24</v>
      </c>
      <c r="J53" s="168"/>
      <c r="K53" s="168">
        <f t="shared" si="6"/>
        <v>24</v>
      </c>
      <c r="L53" s="168">
        <f t="shared" si="7"/>
        <v>0</v>
      </c>
      <c r="M53" s="168">
        <f t="shared" si="8"/>
        <v>36</v>
      </c>
      <c r="N53" s="168">
        <f t="shared" si="9"/>
        <v>36</v>
      </c>
      <c r="O53" s="168">
        <f t="shared" si="10"/>
        <v>4.5</v>
      </c>
      <c r="P53" s="170"/>
      <c r="Q53" s="171">
        <f t="shared" si="11"/>
        <v>3</v>
      </c>
    </row>
    <row r="54" spans="1:17" s="172" customFormat="1" ht="28.5" customHeight="1" x14ac:dyDescent="0.25">
      <c r="A54" s="71">
        <f>COUNTA($A$6:A53)</f>
        <v>48</v>
      </c>
      <c r="B54" s="184"/>
      <c r="C54" s="178" t="str">
        <f>IF($B54="","",VLOOKUP($B54,#REF!,2,0))</f>
        <v/>
      </c>
      <c r="D54" s="167" t="str">
        <f>IF($B54="","",VLOOKUP($B54,#REF!,4,0))</f>
        <v/>
      </c>
      <c r="E54" s="168"/>
      <c r="F54" s="169"/>
      <c r="G54" s="168"/>
      <c r="H54" s="169"/>
      <c r="I54" s="168">
        <f t="shared" si="5"/>
        <v>24</v>
      </c>
      <c r="J54" s="168"/>
      <c r="K54" s="168">
        <f t="shared" si="6"/>
        <v>24</v>
      </c>
      <c r="L54" s="168">
        <f t="shared" si="7"/>
        <v>0</v>
      </c>
      <c r="M54" s="168">
        <f t="shared" si="8"/>
        <v>36</v>
      </c>
      <c r="N54" s="168">
        <f t="shared" si="9"/>
        <v>36</v>
      </c>
      <c r="O54" s="168">
        <f t="shared" si="10"/>
        <v>4.5</v>
      </c>
      <c r="P54" s="170"/>
      <c r="Q54" s="171">
        <f t="shared" si="11"/>
        <v>3</v>
      </c>
    </row>
    <row r="55" spans="1:17" s="172" customFormat="1" ht="28.5" customHeight="1" x14ac:dyDescent="0.25">
      <c r="A55" s="71">
        <f>COUNTA($A$6:A54)</f>
        <v>49</v>
      </c>
      <c r="B55" s="184"/>
      <c r="C55" s="178" t="str">
        <f>IF($B55="","",VLOOKUP($B55,#REF!,2,0))</f>
        <v/>
      </c>
      <c r="D55" s="167" t="str">
        <f>IF($B55="","",VLOOKUP($B55,#REF!,4,0))</f>
        <v/>
      </c>
      <c r="E55" s="168"/>
      <c r="F55" s="169"/>
      <c r="G55" s="168"/>
      <c r="H55" s="169"/>
      <c r="I55" s="168">
        <f t="shared" si="5"/>
        <v>24</v>
      </c>
      <c r="J55" s="168"/>
      <c r="K55" s="168">
        <f t="shared" si="6"/>
        <v>24</v>
      </c>
      <c r="L55" s="168">
        <f t="shared" si="7"/>
        <v>0</v>
      </c>
      <c r="M55" s="168">
        <f t="shared" si="8"/>
        <v>36</v>
      </c>
      <c r="N55" s="168">
        <f t="shared" si="9"/>
        <v>36</v>
      </c>
      <c r="O55" s="168">
        <f t="shared" si="10"/>
        <v>4.5</v>
      </c>
      <c r="P55" s="170"/>
      <c r="Q55" s="171">
        <f t="shared" si="11"/>
        <v>3</v>
      </c>
    </row>
    <row r="56" spans="1:17" s="172" customFormat="1" ht="28.5" customHeight="1" x14ac:dyDescent="0.25">
      <c r="A56" s="71">
        <f>COUNTA($A$6:A55)</f>
        <v>50</v>
      </c>
      <c r="B56" s="175"/>
      <c r="C56" s="185" t="str">
        <f>IF($B56="","",VLOOKUP($B56,#REF!,2,0))</f>
        <v/>
      </c>
      <c r="D56" s="167" t="str">
        <f>IF($B56="","",VLOOKUP($B56,#REF!,4,0))</f>
        <v/>
      </c>
      <c r="E56" s="168"/>
      <c r="F56" s="169"/>
      <c r="G56" s="168"/>
      <c r="H56" s="169"/>
      <c r="I56" s="168">
        <f t="shared" si="5"/>
        <v>24</v>
      </c>
      <c r="J56" s="168"/>
      <c r="K56" s="168">
        <f t="shared" si="6"/>
        <v>24</v>
      </c>
      <c r="L56" s="168">
        <f t="shared" si="7"/>
        <v>0</v>
      </c>
      <c r="M56" s="168">
        <f t="shared" si="8"/>
        <v>36</v>
      </c>
      <c r="N56" s="168">
        <f t="shared" si="9"/>
        <v>36</v>
      </c>
      <c r="O56" s="168">
        <f t="shared" si="10"/>
        <v>4.5</v>
      </c>
      <c r="P56" s="170"/>
      <c r="Q56" s="171">
        <f t="shared" si="11"/>
        <v>3</v>
      </c>
    </row>
    <row r="57" spans="1:17" s="172" customFormat="1" ht="28.5" customHeight="1" x14ac:dyDescent="0.25">
      <c r="A57" s="71">
        <f>COUNTA($A$6:A56)</f>
        <v>51</v>
      </c>
      <c r="B57" s="175"/>
      <c r="C57" s="185" t="str">
        <f>IF($B57="","",VLOOKUP($B57,#REF!,2,0))</f>
        <v/>
      </c>
      <c r="D57" s="167" t="str">
        <f>IF($B57="","",VLOOKUP($B57,#REF!,4,0))</f>
        <v/>
      </c>
      <c r="E57" s="168"/>
      <c r="F57" s="169"/>
      <c r="G57" s="168"/>
      <c r="H57" s="169"/>
      <c r="I57" s="168">
        <f t="shared" si="5"/>
        <v>24</v>
      </c>
      <c r="J57" s="168"/>
      <c r="K57" s="168">
        <f t="shared" si="6"/>
        <v>24</v>
      </c>
      <c r="L57" s="168">
        <f t="shared" si="7"/>
        <v>0</v>
      </c>
      <c r="M57" s="168">
        <f t="shared" si="8"/>
        <v>36</v>
      </c>
      <c r="N57" s="168">
        <f t="shared" si="9"/>
        <v>36</v>
      </c>
      <c r="O57" s="168">
        <f t="shared" si="10"/>
        <v>4.5</v>
      </c>
      <c r="P57" s="170"/>
      <c r="Q57" s="171">
        <f t="shared" si="11"/>
        <v>3</v>
      </c>
    </row>
    <row r="58" spans="1:17" s="172" customFormat="1" ht="28.5" customHeight="1" x14ac:dyDescent="0.25">
      <c r="A58" s="71">
        <f>COUNTA($A$6:A57)</f>
        <v>52</v>
      </c>
      <c r="B58" s="175"/>
      <c r="C58" s="185" t="str">
        <f>IF($B58="","",VLOOKUP($B58,#REF!,2,0))</f>
        <v/>
      </c>
      <c r="D58" s="167" t="str">
        <f>IF($B58="","",VLOOKUP($B58,#REF!,4,0))</f>
        <v/>
      </c>
      <c r="E58" s="168"/>
      <c r="F58" s="169"/>
      <c r="G58" s="168"/>
      <c r="H58" s="169"/>
      <c r="I58" s="168">
        <f t="shared" si="5"/>
        <v>24</v>
      </c>
      <c r="J58" s="168"/>
      <c r="K58" s="168">
        <f t="shared" si="6"/>
        <v>24</v>
      </c>
      <c r="L58" s="168">
        <f t="shared" si="7"/>
        <v>0</v>
      </c>
      <c r="M58" s="168">
        <f t="shared" si="8"/>
        <v>36</v>
      </c>
      <c r="N58" s="168">
        <f t="shared" si="9"/>
        <v>36</v>
      </c>
      <c r="O58" s="168">
        <f t="shared" si="10"/>
        <v>4.5</v>
      </c>
      <c r="P58" s="170"/>
      <c r="Q58" s="171">
        <f t="shared" si="11"/>
        <v>3</v>
      </c>
    </row>
    <row r="59" spans="1:17" s="172" customFormat="1" ht="28.5" customHeight="1" x14ac:dyDescent="0.25">
      <c r="A59" s="71">
        <f>COUNTA($A$6:A58)</f>
        <v>53</v>
      </c>
      <c r="B59" s="185"/>
      <c r="C59" s="185" t="str">
        <f>IF($B59="","",VLOOKUP($B59,#REF!,2,0))</f>
        <v/>
      </c>
      <c r="D59" s="167" t="str">
        <f>IF($B59="","",VLOOKUP($B59,#REF!,4,0))</f>
        <v/>
      </c>
      <c r="E59" s="168"/>
      <c r="F59" s="169"/>
      <c r="G59" s="168"/>
      <c r="H59" s="169"/>
      <c r="I59" s="168">
        <f t="shared" si="5"/>
        <v>24</v>
      </c>
      <c r="J59" s="168"/>
      <c r="K59" s="168">
        <f t="shared" si="6"/>
        <v>24</v>
      </c>
      <c r="L59" s="168">
        <f t="shared" si="7"/>
        <v>0</v>
      </c>
      <c r="M59" s="168">
        <f t="shared" si="8"/>
        <v>36</v>
      </c>
      <c r="N59" s="168">
        <f t="shared" si="9"/>
        <v>36</v>
      </c>
      <c r="O59" s="168">
        <f t="shared" si="10"/>
        <v>4.5</v>
      </c>
      <c r="P59" s="170"/>
      <c r="Q59" s="171">
        <f t="shared" si="11"/>
        <v>3</v>
      </c>
    </row>
    <row r="60" spans="1:17" s="172" customFormat="1" ht="28.5" customHeight="1" x14ac:dyDescent="0.25">
      <c r="A60" s="71">
        <f>COUNTA($A$6:A59)</f>
        <v>54</v>
      </c>
      <c r="B60" s="185"/>
      <c r="C60" s="185" t="str">
        <f>IF($B60="","",VLOOKUP($B60,#REF!,2,0))</f>
        <v/>
      </c>
      <c r="D60" s="167" t="str">
        <f>IF($B60="","",VLOOKUP($B60,#REF!,4,0))</f>
        <v/>
      </c>
      <c r="E60" s="168"/>
      <c r="F60" s="169"/>
      <c r="G60" s="168"/>
      <c r="H60" s="169"/>
      <c r="I60" s="168">
        <f t="shared" si="5"/>
        <v>24</v>
      </c>
      <c r="J60" s="168"/>
      <c r="K60" s="168">
        <f t="shared" si="6"/>
        <v>24</v>
      </c>
      <c r="L60" s="168">
        <f t="shared" si="7"/>
        <v>0</v>
      </c>
      <c r="M60" s="168">
        <f t="shared" si="8"/>
        <v>36</v>
      </c>
      <c r="N60" s="168">
        <f t="shared" si="9"/>
        <v>36</v>
      </c>
      <c r="O60" s="168">
        <f t="shared" si="10"/>
        <v>4.5</v>
      </c>
      <c r="P60" s="170"/>
      <c r="Q60" s="171">
        <f t="shared" si="11"/>
        <v>3</v>
      </c>
    </row>
    <row r="61" spans="1:17" s="172" customFormat="1" ht="28.5" customHeight="1" x14ac:dyDescent="0.25">
      <c r="A61" s="71">
        <f>COUNTA($A$6:A60)</f>
        <v>55</v>
      </c>
      <c r="B61" s="185"/>
      <c r="C61" s="185" t="str">
        <f>IF($B61="","",VLOOKUP($B61,#REF!,2,0))</f>
        <v/>
      </c>
      <c r="D61" s="167" t="str">
        <f>IF($B61="","",VLOOKUP($B61,#REF!,4,0))</f>
        <v/>
      </c>
      <c r="E61" s="168"/>
      <c r="F61" s="169"/>
      <c r="G61" s="168"/>
      <c r="H61" s="169"/>
      <c r="I61" s="168">
        <f t="shared" si="5"/>
        <v>24</v>
      </c>
      <c r="J61" s="168"/>
      <c r="K61" s="168">
        <f t="shared" si="6"/>
        <v>24</v>
      </c>
      <c r="L61" s="168">
        <f t="shared" si="7"/>
        <v>0</v>
      </c>
      <c r="M61" s="168">
        <f t="shared" si="8"/>
        <v>36</v>
      </c>
      <c r="N61" s="168">
        <f t="shared" si="9"/>
        <v>36</v>
      </c>
      <c r="O61" s="168">
        <f t="shared" si="10"/>
        <v>4.5</v>
      </c>
      <c r="P61" s="170"/>
      <c r="Q61" s="171">
        <f t="shared" si="11"/>
        <v>3</v>
      </c>
    </row>
    <row r="62" spans="1:17" s="172" customFormat="1" ht="28.5" customHeight="1" x14ac:dyDescent="0.25">
      <c r="A62" s="71">
        <f>COUNTA($A$6:A61)</f>
        <v>56</v>
      </c>
      <c r="B62" s="185"/>
      <c r="C62" s="185" t="str">
        <f>IF($B62="","",VLOOKUP($B62,#REF!,2,0))</f>
        <v/>
      </c>
      <c r="D62" s="167" t="str">
        <f>IF($B62="","",VLOOKUP($B62,#REF!,4,0))</f>
        <v/>
      </c>
      <c r="E62" s="168"/>
      <c r="F62" s="169"/>
      <c r="G62" s="168"/>
      <c r="H62" s="169"/>
      <c r="I62" s="168">
        <f t="shared" si="5"/>
        <v>24</v>
      </c>
      <c r="J62" s="168"/>
      <c r="K62" s="168">
        <f t="shared" si="6"/>
        <v>24</v>
      </c>
      <c r="L62" s="168">
        <f t="shared" si="7"/>
        <v>0</v>
      </c>
      <c r="M62" s="168">
        <f t="shared" si="8"/>
        <v>36</v>
      </c>
      <c r="N62" s="168">
        <f t="shared" si="9"/>
        <v>36</v>
      </c>
      <c r="O62" s="168">
        <f t="shared" si="10"/>
        <v>4.5</v>
      </c>
      <c r="P62" s="170"/>
      <c r="Q62" s="171">
        <f t="shared" si="11"/>
        <v>3</v>
      </c>
    </row>
    <row r="63" spans="1:17" s="172" customFormat="1" ht="28.5" customHeight="1" x14ac:dyDescent="0.25">
      <c r="A63" s="71">
        <f>COUNTA($A$6:A62)</f>
        <v>57</v>
      </c>
      <c r="B63" s="185"/>
      <c r="C63" s="185" t="str">
        <f>IF($B63="","",VLOOKUP($B63,#REF!,2,0))</f>
        <v/>
      </c>
      <c r="D63" s="167" t="str">
        <f>IF($B63="","",VLOOKUP($B63,#REF!,4,0))</f>
        <v/>
      </c>
      <c r="E63" s="168"/>
      <c r="F63" s="169"/>
      <c r="G63" s="168"/>
      <c r="H63" s="169"/>
      <c r="I63" s="168">
        <f t="shared" si="5"/>
        <v>24</v>
      </c>
      <c r="J63" s="168"/>
      <c r="K63" s="168">
        <f t="shared" si="6"/>
        <v>24</v>
      </c>
      <c r="L63" s="168">
        <f t="shared" si="7"/>
        <v>0</v>
      </c>
      <c r="M63" s="168">
        <f t="shared" si="8"/>
        <v>36</v>
      </c>
      <c r="N63" s="168">
        <f t="shared" si="9"/>
        <v>36</v>
      </c>
      <c r="O63" s="168">
        <f t="shared" si="10"/>
        <v>4.5</v>
      </c>
      <c r="P63" s="170"/>
      <c r="Q63" s="171">
        <f t="shared" si="11"/>
        <v>3</v>
      </c>
    </row>
    <row r="64" spans="1:17" s="172" customFormat="1" ht="28.5" customHeight="1" x14ac:dyDescent="0.25">
      <c r="A64" s="71">
        <f>COUNTA($A$6:A63)</f>
        <v>58</v>
      </c>
      <c r="B64" s="185"/>
      <c r="C64" s="185" t="str">
        <f>IF($B64="","",VLOOKUP($B64,#REF!,2,0))</f>
        <v/>
      </c>
      <c r="D64" s="167" t="str">
        <f>IF($B64="","",VLOOKUP($B64,#REF!,4,0))</f>
        <v/>
      </c>
      <c r="E64" s="168"/>
      <c r="F64" s="169"/>
      <c r="G64" s="168"/>
      <c r="H64" s="169"/>
      <c r="I64" s="168">
        <f t="shared" si="5"/>
        <v>24</v>
      </c>
      <c r="J64" s="168"/>
      <c r="K64" s="168">
        <f t="shared" si="6"/>
        <v>24</v>
      </c>
      <c r="L64" s="168">
        <f t="shared" si="7"/>
        <v>0</v>
      </c>
      <c r="M64" s="168">
        <f t="shared" si="8"/>
        <v>36</v>
      </c>
      <c r="N64" s="168">
        <f t="shared" si="9"/>
        <v>36</v>
      </c>
      <c r="O64" s="168">
        <f t="shared" si="10"/>
        <v>4.5</v>
      </c>
      <c r="P64" s="170"/>
      <c r="Q64" s="171">
        <f t="shared" si="11"/>
        <v>3</v>
      </c>
    </row>
    <row r="65" spans="1:17" s="172" customFormat="1" ht="28.5" customHeight="1" x14ac:dyDescent="0.25">
      <c r="A65" s="71">
        <f>COUNTA($A$6:A64)</f>
        <v>59</v>
      </c>
      <c r="B65" s="185"/>
      <c r="C65" s="185" t="str">
        <f>IF($B65="","",VLOOKUP($B65,#REF!,2,0))</f>
        <v/>
      </c>
      <c r="D65" s="167" t="str">
        <f>IF($B65="","",VLOOKUP($B65,#REF!,4,0))</f>
        <v/>
      </c>
      <c r="E65" s="168"/>
      <c r="F65" s="169"/>
      <c r="G65" s="168"/>
      <c r="H65" s="169"/>
      <c r="I65" s="168">
        <f t="shared" si="5"/>
        <v>24</v>
      </c>
      <c r="J65" s="168"/>
      <c r="K65" s="168">
        <f t="shared" si="6"/>
        <v>24</v>
      </c>
      <c r="L65" s="168">
        <f t="shared" si="7"/>
        <v>0</v>
      </c>
      <c r="M65" s="168">
        <f t="shared" si="8"/>
        <v>36</v>
      </c>
      <c r="N65" s="168">
        <f t="shared" si="9"/>
        <v>36</v>
      </c>
      <c r="O65" s="168">
        <f t="shared" si="10"/>
        <v>4.5</v>
      </c>
      <c r="P65" s="170"/>
      <c r="Q65" s="171">
        <f t="shared" si="11"/>
        <v>3</v>
      </c>
    </row>
    <row r="66" spans="1:17" s="172" customFormat="1" ht="28.5" customHeight="1" x14ac:dyDescent="0.25">
      <c r="A66" s="71">
        <f>COUNTA($A$6:A65)</f>
        <v>60</v>
      </c>
      <c r="B66" s="185"/>
      <c r="C66" s="185" t="str">
        <f>IF($B66="","",VLOOKUP($B66,#REF!,2,0))</f>
        <v/>
      </c>
      <c r="D66" s="167" t="str">
        <f>IF($B66="","",VLOOKUP($B66,#REF!,4,0))</f>
        <v/>
      </c>
      <c r="E66" s="168"/>
      <c r="F66" s="169"/>
      <c r="G66" s="168"/>
      <c r="H66" s="169"/>
      <c r="I66" s="168">
        <f t="shared" si="5"/>
        <v>24</v>
      </c>
      <c r="J66" s="168"/>
      <c r="K66" s="168">
        <f t="shared" si="6"/>
        <v>24</v>
      </c>
      <c r="L66" s="168">
        <f t="shared" si="7"/>
        <v>0</v>
      </c>
      <c r="M66" s="168">
        <f t="shared" si="8"/>
        <v>36</v>
      </c>
      <c r="N66" s="168">
        <f t="shared" si="9"/>
        <v>36</v>
      </c>
      <c r="O66" s="168">
        <f t="shared" si="10"/>
        <v>4.5</v>
      </c>
      <c r="P66" s="170"/>
      <c r="Q66" s="171">
        <f t="shared" si="11"/>
        <v>3</v>
      </c>
    </row>
    <row r="67" spans="1:17" s="172" customFormat="1" ht="28.5" customHeight="1" x14ac:dyDescent="0.25">
      <c r="A67" s="186"/>
      <c r="B67" s="187"/>
      <c r="C67" s="188" t="s">
        <v>143</v>
      </c>
      <c r="D67" s="187"/>
      <c r="E67" s="189"/>
      <c r="F67" s="190"/>
      <c r="G67" s="189"/>
      <c r="H67" s="190"/>
      <c r="I67" s="189">
        <f t="shared" ref="I67:O67" si="12">SUM(I7:I55)</f>
        <v>1163</v>
      </c>
      <c r="J67" s="189">
        <f t="shared" si="12"/>
        <v>8</v>
      </c>
      <c r="K67" s="189">
        <f t="shared" si="12"/>
        <v>1155</v>
      </c>
      <c r="L67" s="189">
        <f t="shared" si="12"/>
        <v>16.8</v>
      </c>
      <c r="M67" s="189">
        <f t="shared" si="12"/>
        <v>1732.5</v>
      </c>
      <c r="N67" s="189">
        <f t="shared" si="12"/>
        <v>1749.3</v>
      </c>
      <c r="O67" s="189">
        <f t="shared" si="12"/>
        <v>218.66249999999999</v>
      </c>
      <c r="P67" s="170"/>
      <c r="Q67" s="171"/>
    </row>
    <row r="68" spans="1:17" s="172" customFormat="1" ht="28.5" customHeight="1" x14ac:dyDescent="0.25">
      <c r="A68" s="160"/>
      <c r="B68" s="206" t="s">
        <v>144</v>
      </c>
      <c r="C68" s="206"/>
      <c r="D68" s="191"/>
      <c r="E68" s="149"/>
      <c r="F68" s="161"/>
      <c r="G68" s="192"/>
      <c r="H68" s="192"/>
      <c r="I68" s="193"/>
      <c r="J68" s="193"/>
      <c r="K68" s="193"/>
      <c r="L68" s="193"/>
      <c r="M68" s="193"/>
      <c r="N68" s="193"/>
      <c r="O68" s="193"/>
      <c r="P68" s="170"/>
      <c r="Q68" s="171"/>
    </row>
    <row r="69" spans="1:17" s="172" customFormat="1" ht="28.5" customHeight="1" x14ac:dyDescent="0.25">
      <c r="A69" s="71">
        <f>COUNTA($A$6:A68)</f>
        <v>61</v>
      </c>
      <c r="B69" s="184"/>
      <c r="C69" s="194" t="str">
        <f>IF($B69="","",VLOOKUP($B69,#REF!,2,0))</f>
        <v/>
      </c>
      <c r="D69" s="195" t="str">
        <f>IF($B69="","",VLOOKUP($B69,#REF!,4,0))</f>
        <v/>
      </c>
      <c r="E69" s="168"/>
      <c r="F69" s="169"/>
      <c r="G69" s="168">
        <v>8</v>
      </c>
      <c r="H69" s="169"/>
      <c r="I69" s="168">
        <f t="shared" ref="I69:I106" si="13">+(24-E69+G69)</f>
        <v>32</v>
      </c>
      <c r="J69" s="168"/>
      <c r="K69" s="168">
        <f t="shared" ref="K69:K106" si="14">I69-J69</f>
        <v>32</v>
      </c>
      <c r="L69" s="168">
        <f t="shared" ref="L69:L106" si="15">(J69*210%)</f>
        <v>0</v>
      </c>
      <c r="M69" s="168">
        <f t="shared" ref="M69:M106" si="16">(K69*150%)</f>
        <v>48</v>
      </c>
      <c r="N69" s="168">
        <f t="shared" ref="N69:N106" si="17">L69+M69</f>
        <v>48</v>
      </c>
      <c r="O69" s="168">
        <f t="shared" ref="O69:O106" si="18">N69/8</f>
        <v>6</v>
      </c>
      <c r="P69" s="170"/>
      <c r="Q69" s="171">
        <f t="shared" ref="Q69:Q106" si="19">I69/8</f>
        <v>4</v>
      </c>
    </row>
    <row r="70" spans="1:17" s="172" customFormat="1" ht="28.5" customHeight="1" x14ac:dyDescent="0.25">
      <c r="A70" s="71">
        <f>COUNTA($A$6:A69)</f>
        <v>62</v>
      </c>
      <c r="B70" s="184"/>
      <c r="C70" s="194" t="str">
        <f>IF($B70="","",VLOOKUP($B70,#REF!,2,0))</f>
        <v/>
      </c>
      <c r="D70" s="195" t="str">
        <f>IF($B70="","",VLOOKUP($B70,#REF!,4,0))</f>
        <v/>
      </c>
      <c r="E70" s="168"/>
      <c r="F70" s="169"/>
      <c r="G70" s="168">
        <v>8</v>
      </c>
      <c r="H70" s="169"/>
      <c r="I70" s="168">
        <f t="shared" si="13"/>
        <v>32</v>
      </c>
      <c r="J70" s="168"/>
      <c r="K70" s="168">
        <f t="shared" si="14"/>
        <v>32</v>
      </c>
      <c r="L70" s="168">
        <f t="shared" si="15"/>
        <v>0</v>
      </c>
      <c r="M70" s="168">
        <f t="shared" si="16"/>
        <v>48</v>
      </c>
      <c r="N70" s="168">
        <f t="shared" si="17"/>
        <v>48</v>
      </c>
      <c r="O70" s="168">
        <f t="shared" si="18"/>
        <v>6</v>
      </c>
      <c r="P70" s="170"/>
      <c r="Q70" s="171">
        <f t="shared" si="19"/>
        <v>4</v>
      </c>
    </row>
    <row r="71" spans="1:17" s="172" customFormat="1" ht="28.5" customHeight="1" x14ac:dyDescent="0.25">
      <c r="A71" s="71">
        <f>COUNTA($A$6:A70)</f>
        <v>63</v>
      </c>
      <c r="B71" s="184"/>
      <c r="C71" s="194" t="str">
        <f>IF($B71="","",VLOOKUP($B71,#REF!,2,0))</f>
        <v/>
      </c>
      <c r="D71" s="195" t="str">
        <f>IF($B71="","",VLOOKUP($B71,#REF!,4,0))</f>
        <v/>
      </c>
      <c r="E71" s="168"/>
      <c r="F71" s="169"/>
      <c r="G71" s="168">
        <v>8</v>
      </c>
      <c r="H71" s="169"/>
      <c r="I71" s="168">
        <f t="shared" si="13"/>
        <v>32</v>
      </c>
      <c r="J71" s="168"/>
      <c r="K71" s="168">
        <f t="shared" si="14"/>
        <v>32</v>
      </c>
      <c r="L71" s="168">
        <f t="shared" si="15"/>
        <v>0</v>
      </c>
      <c r="M71" s="168">
        <f t="shared" si="16"/>
        <v>48</v>
      </c>
      <c r="N71" s="168">
        <f t="shared" si="17"/>
        <v>48</v>
      </c>
      <c r="O71" s="168">
        <f t="shared" si="18"/>
        <v>6</v>
      </c>
      <c r="P71" s="170"/>
      <c r="Q71" s="171">
        <f t="shared" si="19"/>
        <v>4</v>
      </c>
    </row>
    <row r="72" spans="1:17" s="172" customFormat="1" ht="28.5" customHeight="1" x14ac:dyDescent="0.25">
      <c r="A72" s="71">
        <f>COUNTA($A$6:A71)</f>
        <v>64</v>
      </c>
      <c r="B72" s="184"/>
      <c r="C72" s="194" t="str">
        <f>IF($B72="","",VLOOKUP($B72,#REF!,2,0))</f>
        <v/>
      </c>
      <c r="D72" s="196" t="str">
        <f>IF($B72="","",VLOOKUP($B72,#REF!,4,0))</f>
        <v/>
      </c>
      <c r="E72" s="168"/>
      <c r="F72" s="169"/>
      <c r="G72" s="168">
        <v>8</v>
      </c>
      <c r="H72" s="169"/>
      <c r="I72" s="168">
        <f t="shared" si="13"/>
        <v>32</v>
      </c>
      <c r="J72" s="168"/>
      <c r="K72" s="168">
        <f t="shared" si="14"/>
        <v>32</v>
      </c>
      <c r="L72" s="168">
        <f t="shared" si="15"/>
        <v>0</v>
      </c>
      <c r="M72" s="168">
        <f t="shared" si="16"/>
        <v>48</v>
      </c>
      <c r="N72" s="168">
        <f t="shared" si="17"/>
        <v>48</v>
      </c>
      <c r="O72" s="168">
        <f t="shared" si="18"/>
        <v>6</v>
      </c>
      <c r="P72" s="170"/>
      <c r="Q72" s="171">
        <f t="shared" si="19"/>
        <v>4</v>
      </c>
    </row>
    <row r="73" spans="1:17" s="172" customFormat="1" ht="28.5" customHeight="1" x14ac:dyDescent="0.25">
      <c r="A73" s="71">
        <f>COUNTA($A$6:A72)</f>
        <v>65</v>
      </c>
      <c r="B73" s="184"/>
      <c r="C73" s="194" t="str">
        <f>IF($B73="","",VLOOKUP($B73,#REF!,2,0))</f>
        <v/>
      </c>
      <c r="D73" s="196" t="str">
        <f>IF($B73="","",VLOOKUP($B73,#REF!,4,0))</f>
        <v/>
      </c>
      <c r="E73" s="168"/>
      <c r="F73" s="169"/>
      <c r="G73" s="168">
        <v>8</v>
      </c>
      <c r="H73" s="169"/>
      <c r="I73" s="168">
        <f t="shared" si="13"/>
        <v>32</v>
      </c>
      <c r="J73" s="168"/>
      <c r="K73" s="168">
        <f t="shared" si="14"/>
        <v>32</v>
      </c>
      <c r="L73" s="168">
        <f t="shared" si="15"/>
        <v>0</v>
      </c>
      <c r="M73" s="168">
        <f t="shared" si="16"/>
        <v>48</v>
      </c>
      <c r="N73" s="168">
        <f t="shared" si="17"/>
        <v>48</v>
      </c>
      <c r="O73" s="168">
        <f t="shared" si="18"/>
        <v>6</v>
      </c>
      <c r="P73" s="170"/>
      <c r="Q73" s="171">
        <f t="shared" si="19"/>
        <v>4</v>
      </c>
    </row>
    <row r="74" spans="1:17" s="172" customFormat="1" ht="28.5" customHeight="1" x14ac:dyDescent="0.25">
      <c r="A74" s="71">
        <f>COUNTA($A$6:A73)</f>
        <v>66</v>
      </c>
      <c r="B74" s="184"/>
      <c r="C74" s="194" t="str">
        <f>IF($B74="","",VLOOKUP($B74,#REF!,2,0))</f>
        <v/>
      </c>
      <c r="D74" s="196" t="str">
        <f>IF($B74="","",VLOOKUP($B74,#REF!,4,0))</f>
        <v/>
      </c>
      <c r="E74" s="168"/>
      <c r="F74" s="169"/>
      <c r="G74" s="168">
        <v>8</v>
      </c>
      <c r="H74" s="169"/>
      <c r="I74" s="168">
        <f t="shared" si="13"/>
        <v>32</v>
      </c>
      <c r="J74" s="168"/>
      <c r="K74" s="168">
        <f t="shared" si="14"/>
        <v>32</v>
      </c>
      <c r="L74" s="168">
        <f t="shared" si="15"/>
        <v>0</v>
      </c>
      <c r="M74" s="168">
        <f t="shared" si="16"/>
        <v>48</v>
      </c>
      <c r="N74" s="168">
        <f t="shared" si="17"/>
        <v>48</v>
      </c>
      <c r="O74" s="168">
        <f t="shared" si="18"/>
        <v>6</v>
      </c>
      <c r="P74" s="170"/>
      <c r="Q74" s="171">
        <f t="shared" si="19"/>
        <v>4</v>
      </c>
    </row>
    <row r="75" spans="1:17" s="172" customFormat="1" ht="28.5" customHeight="1" x14ac:dyDescent="0.25">
      <c r="A75" s="71">
        <f>COUNTA($A$6:A74)</f>
        <v>67</v>
      </c>
      <c r="B75" s="184"/>
      <c r="C75" s="194" t="str">
        <f>IF($B75="","",VLOOKUP($B75,#REF!,2,0))</f>
        <v/>
      </c>
      <c r="D75" s="196" t="str">
        <f>IF($B75="","",VLOOKUP($B75,#REF!,4,0))</f>
        <v/>
      </c>
      <c r="E75" s="168"/>
      <c r="F75" s="169"/>
      <c r="G75" s="168">
        <v>8</v>
      </c>
      <c r="H75" s="169"/>
      <c r="I75" s="168">
        <f t="shared" si="13"/>
        <v>32</v>
      </c>
      <c r="J75" s="168"/>
      <c r="K75" s="168">
        <f t="shared" si="14"/>
        <v>32</v>
      </c>
      <c r="L75" s="168">
        <f t="shared" si="15"/>
        <v>0</v>
      </c>
      <c r="M75" s="168">
        <f t="shared" si="16"/>
        <v>48</v>
      </c>
      <c r="N75" s="168">
        <f t="shared" si="17"/>
        <v>48</v>
      </c>
      <c r="O75" s="168">
        <f t="shared" si="18"/>
        <v>6</v>
      </c>
      <c r="P75" s="170"/>
      <c r="Q75" s="171">
        <f t="shared" si="19"/>
        <v>4</v>
      </c>
    </row>
    <row r="76" spans="1:17" s="172" customFormat="1" ht="28.5" customHeight="1" x14ac:dyDescent="0.25">
      <c r="A76" s="71">
        <f>COUNTA($A$6:A75)</f>
        <v>68</v>
      </c>
      <c r="B76" s="195"/>
      <c r="C76" s="197" t="str">
        <f>IF($B76="","",VLOOKUP($B76,#REF!,2,0))</f>
        <v/>
      </c>
      <c r="D76" s="195" t="str">
        <f>IF($B76="","",VLOOKUP($B76,#REF!,4,0))</f>
        <v/>
      </c>
      <c r="E76" s="168"/>
      <c r="F76" s="169"/>
      <c r="G76" s="168">
        <v>8.5</v>
      </c>
      <c r="H76" s="169"/>
      <c r="I76" s="168">
        <f t="shared" si="13"/>
        <v>32.5</v>
      </c>
      <c r="J76" s="168"/>
      <c r="K76" s="168">
        <f t="shared" si="14"/>
        <v>32.5</v>
      </c>
      <c r="L76" s="168">
        <f t="shared" si="15"/>
        <v>0</v>
      </c>
      <c r="M76" s="168">
        <f t="shared" si="16"/>
        <v>48.75</v>
      </c>
      <c r="N76" s="168">
        <f t="shared" si="17"/>
        <v>48.75</v>
      </c>
      <c r="O76" s="168">
        <f t="shared" si="18"/>
        <v>6.09375</v>
      </c>
      <c r="P76" s="170"/>
      <c r="Q76" s="171">
        <f t="shared" si="19"/>
        <v>4.0625</v>
      </c>
    </row>
    <row r="77" spans="1:17" s="172" customFormat="1" ht="28.5" customHeight="1" x14ac:dyDescent="0.25">
      <c r="A77" s="71">
        <f>COUNTA($A$6:A76)</f>
        <v>69</v>
      </c>
      <c r="B77" s="195"/>
      <c r="C77" s="197" t="str">
        <f>IF($B77="","",VLOOKUP($B77,#REF!,2,0))</f>
        <v/>
      </c>
      <c r="D77" s="195" t="str">
        <f>IF($B77="","",VLOOKUP($B77,#REF!,4,0))</f>
        <v/>
      </c>
      <c r="E77" s="168"/>
      <c r="F77" s="169"/>
      <c r="G77" s="168">
        <v>8.5</v>
      </c>
      <c r="H77" s="169"/>
      <c r="I77" s="168">
        <f t="shared" si="13"/>
        <v>32.5</v>
      </c>
      <c r="J77" s="168"/>
      <c r="K77" s="168">
        <f t="shared" si="14"/>
        <v>32.5</v>
      </c>
      <c r="L77" s="168">
        <f t="shared" si="15"/>
        <v>0</v>
      </c>
      <c r="M77" s="168">
        <f t="shared" si="16"/>
        <v>48.75</v>
      </c>
      <c r="N77" s="168">
        <f t="shared" si="17"/>
        <v>48.75</v>
      </c>
      <c r="O77" s="168">
        <f t="shared" si="18"/>
        <v>6.09375</v>
      </c>
      <c r="P77" s="170"/>
      <c r="Q77" s="171">
        <f t="shared" si="19"/>
        <v>4.0625</v>
      </c>
    </row>
    <row r="78" spans="1:17" s="172" customFormat="1" ht="28.5" customHeight="1" x14ac:dyDescent="0.25">
      <c r="A78" s="71">
        <f>COUNTA($A$6:A77)</f>
        <v>70</v>
      </c>
      <c r="B78" s="195"/>
      <c r="C78" s="198" t="str">
        <f>IF($B78="","",VLOOKUP($B78,#REF!,2,0))</f>
        <v/>
      </c>
      <c r="D78" s="195" t="str">
        <f>IF($B78="","",VLOOKUP($B78,#REF!,4,0))</f>
        <v/>
      </c>
      <c r="E78" s="168"/>
      <c r="F78" s="169"/>
      <c r="G78" s="168">
        <v>8.5</v>
      </c>
      <c r="H78" s="169"/>
      <c r="I78" s="168">
        <f t="shared" si="13"/>
        <v>32.5</v>
      </c>
      <c r="J78" s="168"/>
      <c r="K78" s="168">
        <f t="shared" si="14"/>
        <v>32.5</v>
      </c>
      <c r="L78" s="168">
        <f t="shared" si="15"/>
        <v>0</v>
      </c>
      <c r="M78" s="168">
        <f t="shared" si="16"/>
        <v>48.75</v>
      </c>
      <c r="N78" s="168">
        <f t="shared" si="17"/>
        <v>48.75</v>
      </c>
      <c r="O78" s="168">
        <f t="shared" si="18"/>
        <v>6.09375</v>
      </c>
      <c r="P78" s="170"/>
      <c r="Q78" s="171">
        <f t="shared" si="19"/>
        <v>4.0625</v>
      </c>
    </row>
    <row r="79" spans="1:17" s="172" customFormat="1" ht="28.5" customHeight="1" x14ac:dyDescent="0.25">
      <c r="A79" s="71">
        <f>COUNTA($A$6:A78)</f>
        <v>71</v>
      </c>
      <c r="B79" s="195"/>
      <c r="C79" s="198" t="str">
        <f>IF($B79="","",VLOOKUP($B79,#REF!,2,0))</f>
        <v/>
      </c>
      <c r="D79" s="196" t="str">
        <f>IF($B79="","",VLOOKUP($B79,#REF!,4,0))</f>
        <v/>
      </c>
      <c r="E79" s="168"/>
      <c r="F79" s="169"/>
      <c r="G79" s="168">
        <v>8.5</v>
      </c>
      <c r="H79" s="169"/>
      <c r="I79" s="168">
        <f t="shared" si="13"/>
        <v>32.5</v>
      </c>
      <c r="J79" s="168"/>
      <c r="K79" s="168">
        <f t="shared" si="14"/>
        <v>32.5</v>
      </c>
      <c r="L79" s="168">
        <f t="shared" si="15"/>
        <v>0</v>
      </c>
      <c r="M79" s="168">
        <f t="shared" si="16"/>
        <v>48.75</v>
      </c>
      <c r="N79" s="168">
        <f t="shared" si="17"/>
        <v>48.75</v>
      </c>
      <c r="O79" s="168">
        <f t="shared" si="18"/>
        <v>6.09375</v>
      </c>
      <c r="P79" s="170"/>
      <c r="Q79" s="171">
        <f t="shared" si="19"/>
        <v>4.0625</v>
      </c>
    </row>
    <row r="80" spans="1:17" s="172" customFormat="1" ht="28.5" customHeight="1" x14ac:dyDescent="0.25">
      <c r="A80" s="71">
        <f>COUNTA($A$6:A79)</f>
        <v>72</v>
      </c>
      <c r="B80" s="195"/>
      <c r="C80" s="198" t="str">
        <f>IF($B80="","",VLOOKUP($B80,#REF!,2,0))</f>
        <v/>
      </c>
      <c r="D80" s="196" t="str">
        <f>IF($B80="","",VLOOKUP($B80,#REF!,4,0))</f>
        <v/>
      </c>
      <c r="E80" s="168"/>
      <c r="F80" s="169"/>
      <c r="G80" s="168">
        <v>8.5</v>
      </c>
      <c r="H80" s="169"/>
      <c r="I80" s="168">
        <f t="shared" si="13"/>
        <v>32.5</v>
      </c>
      <c r="J80" s="168"/>
      <c r="K80" s="168">
        <f t="shared" si="14"/>
        <v>32.5</v>
      </c>
      <c r="L80" s="168">
        <f t="shared" si="15"/>
        <v>0</v>
      </c>
      <c r="M80" s="168">
        <f t="shared" si="16"/>
        <v>48.75</v>
      </c>
      <c r="N80" s="168">
        <f t="shared" si="17"/>
        <v>48.75</v>
      </c>
      <c r="O80" s="168">
        <f t="shared" si="18"/>
        <v>6.09375</v>
      </c>
      <c r="P80" s="170"/>
      <c r="Q80" s="171">
        <f t="shared" si="19"/>
        <v>4.0625</v>
      </c>
    </row>
    <row r="81" spans="1:17" s="172" customFormat="1" ht="28.5" customHeight="1" x14ac:dyDescent="0.25">
      <c r="A81" s="71">
        <f>COUNTA($A$6:A80)</f>
        <v>73</v>
      </c>
      <c r="B81" s="195"/>
      <c r="C81" s="198" t="str">
        <f>IF($B81="","",VLOOKUP($B81,#REF!,2,0))</f>
        <v/>
      </c>
      <c r="D81" s="196" t="str">
        <f>IF($B81="","",VLOOKUP($B81,#REF!,4,0))</f>
        <v/>
      </c>
      <c r="E81" s="168"/>
      <c r="F81" s="169"/>
      <c r="G81" s="168">
        <v>8.5</v>
      </c>
      <c r="H81" s="169"/>
      <c r="I81" s="168">
        <f t="shared" si="13"/>
        <v>32.5</v>
      </c>
      <c r="J81" s="168"/>
      <c r="K81" s="168">
        <f t="shared" si="14"/>
        <v>32.5</v>
      </c>
      <c r="L81" s="168">
        <f t="shared" si="15"/>
        <v>0</v>
      </c>
      <c r="M81" s="168">
        <f t="shared" si="16"/>
        <v>48.75</v>
      </c>
      <c r="N81" s="168">
        <f t="shared" si="17"/>
        <v>48.75</v>
      </c>
      <c r="O81" s="168">
        <f t="shared" si="18"/>
        <v>6.09375</v>
      </c>
      <c r="P81" s="170"/>
      <c r="Q81" s="171">
        <f t="shared" si="19"/>
        <v>4.0625</v>
      </c>
    </row>
    <row r="82" spans="1:17" s="172" customFormat="1" ht="28.5" customHeight="1" x14ac:dyDescent="0.25">
      <c r="A82" s="71">
        <f>COUNTA($A$6:A81)</f>
        <v>74</v>
      </c>
      <c r="B82" s="195"/>
      <c r="C82" s="198" t="str">
        <f>IF($B82="","",VLOOKUP($B82,#REF!,2,0))</f>
        <v/>
      </c>
      <c r="D82" s="196" t="str">
        <f>IF($B82="","",VLOOKUP($B82,#REF!,4,0))</f>
        <v/>
      </c>
      <c r="E82" s="168"/>
      <c r="F82" s="169"/>
      <c r="G82" s="168">
        <v>8.5</v>
      </c>
      <c r="H82" s="169"/>
      <c r="I82" s="168">
        <f t="shared" si="13"/>
        <v>32.5</v>
      </c>
      <c r="J82" s="168"/>
      <c r="K82" s="168">
        <f t="shared" si="14"/>
        <v>32.5</v>
      </c>
      <c r="L82" s="168">
        <f t="shared" si="15"/>
        <v>0</v>
      </c>
      <c r="M82" s="168">
        <f t="shared" si="16"/>
        <v>48.75</v>
      </c>
      <c r="N82" s="168">
        <f t="shared" si="17"/>
        <v>48.75</v>
      </c>
      <c r="O82" s="168">
        <f t="shared" si="18"/>
        <v>6.09375</v>
      </c>
      <c r="P82" s="170"/>
      <c r="Q82" s="171">
        <f t="shared" si="19"/>
        <v>4.0625</v>
      </c>
    </row>
    <row r="83" spans="1:17" s="172" customFormat="1" ht="28.5" customHeight="1" x14ac:dyDescent="0.25">
      <c r="A83" s="71">
        <f>COUNTA($A$6:A82)</f>
        <v>75</v>
      </c>
      <c r="B83" s="195"/>
      <c r="C83" s="198" t="str">
        <f>IF($B83="","",VLOOKUP($B83,#REF!,2,0))</f>
        <v/>
      </c>
      <c r="D83" s="196" t="str">
        <f>IF($B83="","",VLOOKUP($B83,#REF!,4,0))</f>
        <v/>
      </c>
      <c r="E83" s="168"/>
      <c r="F83" s="169"/>
      <c r="G83" s="168">
        <v>8.5</v>
      </c>
      <c r="H83" s="169"/>
      <c r="I83" s="168">
        <f t="shared" si="13"/>
        <v>32.5</v>
      </c>
      <c r="J83" s="168"/>
      <c r="K83" s="168">
        <f t="shared" si="14"/>
        <v>32.5</v>
      </c>
      <c r="L83" s="168">
        <f t="shared" si="15"/>
        <v>0</v>
      </c>
      <c r="M83" s="168">
        <f t="shared" si="16"/>
        <v>48.75</v>
      </c>
      <c r="N83" s="168">
        <f t="shared" si="17"/>
        <v>48.75</v>
      </c>
      <c r="O83" s="168">
        <f t="shared" si="18"/>
        <v>6.09375</v>
      </c>
      <c r="P83" s="170"/>
      <c r="Q83" s="171">
        <f t="shared" si="19"/>
        <v>4.0625</v>
      </c>
    </row>
    <row r="84" spans="1:17" s="172" customFormat="1" ht="28.5" customHeight="1" x14ac:dyDescent="0.25">
      <c r="A84" s="71">
        <f>COUNTA($A$6:A83)</f>
        <v>76</v>
      </c>
      <c r="B84" s="195"/>
      <c r="C84" s="198" t="str">
        <f>IF($B84="","",VLOOKUP($B84,#REF!,2,0))</f>
        <v/>
      </c>
      <c r="D84" s="195" t="str">
        <f>IF($B84="","",VLOOKUP($B84,#REF!,4,0))</f>
        <v/>
      </c>
      <c r="E84" s="168"/>
      <c r="F84" s="169"/>
      <c r="G84" s="168">
        <v>7</v>
      </c>
      <c r="H84" s="169"/>
      <c r="I84" s="168">
        <f t="shared" si="13"/>
        <v>31</v>
      </c>
      <c r="J84" s="168"/>
      <c r="K84" s="168">
        <f t="shared" si="14"/>
        <v>31</v>
      </c>
      <c r="L84" s="168">
        <f t="shared" si="15"/>
        <v>0</v>
      </c>
      <c r="M84" s="168">
        <f t="shared" si="16"/>
        <v>46.5</v>
      </c>
      <c r="N84" s="168">
        <f t="shared" si="17"/>
        <v>46.5</v>
      </c>
      <c r="O84" s="168">
        <f t="shared" si="18"/>
        <v>5.8125</v>
      </c>
      <c r="P84" s="170"/>
      <c r="Q84" s="171">
        <f t="shared" si="19"/>
        <v>3.875</v>
      </c>
    </row>
    <row r="85" spans="1:17" s="172" customFormat="1" ht="28.5" customHeight="1" x14ac:dyDescent="0.25">
      <c r="A85" s="71">
        <f>COUNTA($A$6:A84)</f>
        <v>77</v>
      </c>
      <c r="B85" s="195"/>
      <c r="C85" s="197" t="str">
        <f>IF($B85="","",VLOOKUP($B85,#REF!,2,0))</f>
        <v/>
      </c>
      <c r="D85" s="195" t="str">
        <f>IF($B85="","",VLOOKUP($B85,#REF!,4,0))</f>
        <v/>
      </c>
      <c r="E85" s="168"/>
      <c r="F85" s="169"/>
      <c r="G85" s="168">
        <v>7</v>
      </c>
      <c r="H85" s="169"/>
      <c r="I85" s="168">
        <f t="shared" si="13"/>
        <v>31</v>
      </c>
      <c r="J85" s="168"/>
      <c r="K85" s="168">
        <f t="shared" si="14"/>
        <v>31</v>
      </c>
      <c r="L85" s="168">
        <f t="shared" si="15"/>
        <v>0</v>
      </c>
      <c r="M85" s="168">
        <f t="shared" si="16"/>
        <v>46.5</v>
      </c>
      <c r="N85" s="168">
        <f t="shared" si="17"/>
        <v>46.5</v>
      </c>
      <c r="O85" s="168">
        <f t="shared" si="18"/>
        <v>5.8125</v>
      </c>
      <c r="P85" s="170"/>
      <c r="Q85" s="171">
        <f t="shared" si="19"/>
        <v>3.875</v>
      </c>
    </row>
    <row r="86" spans="1:17" s="172" customFormat="1" ht="28.5" customHeight="1" x14ac:dyDescent="0.25">
      <c r="A86" s="71">
        <f>COUNTA($A$6:A85)</f>
        <v>78</v>
      </c>
      <c r="B86" s="195"/>
      <c r="C86" s="198" t="str">
        <f>IF($B86="","",VLOOKUP($B86,#REF!,2,0))</f>
        <v/>
      </c>
      <c r="D86" s="195" t="str">
        <f>IF($B86="","",VLOOKUP($B86,#REF!,4,0))</f>
        <v/>
      </c>
      <c r="E86" s="168"/>
      <c r="F86" s="169"/>
      <c r="G86" s="168">
        <v>7</v>
      </c>
      <c r="H86" s="169"/>
      <c r="I86" s="168">
        <f t="shared" si="13"/>
        <v>31</v>
      </c>
      <c r="J86" s="168"/>
      <c r="K86" s="168">
        <f t="shared" si="14"/>
        <v>31</v>
      </c>
      <c r="L86" s="168">
        <f t="shared" si="15"/>
        <v>0</v>
      </c>
      <c r="M86" s="168">
        <f t="shared" si="16"/>
        <v>46.5</v>
      </c>
      <c r="N86" s="168">
        <f t="shared" si="17"/>
        <v>46.5</v>
      </c>
      <c r="O86" s="168">
        <f t="shared" si="18"/>
        <v>5.8125</v>
      </c>
      <c r="P86" s="170"/>
      <c r="Q86" s="171">
        <f t="shared" si="19"/>
        <v>3.875</v>
      </c>
    </row>
    <row r="87" spans="1:17" s="172" customFormat="1" ht="28.5" customHeight="1" x14ac:dyDescent="0.25">
      <c r="A87" s="71">
        <f>COUNTA($A$6:A86)</f>
        <v>79</v>
      </c>
      <c r="B87" s="195"/>
      <c r="C87" s="198" t="str">
        <f>IF($B87="","",VLOOKUP($B87,#REF!,2,0))</f>
        <v/>
      </c>
      <c r="D87" s="196" t="str">
        <f>IF($B87="","",VLOOKUP($B87,#REF!,4,0))</f>
        <v/>
      </c>
      <c r="E87" s="168"/>
      <c r="F87" s="169"/>
      <c r="G87" s="168">
        <v>7</v>
      </c>
      <c r="H87" s="169"/>
      <c r="I87" s="168">
        <f t="shared" si="13"/>
        <v>31</v>
      </c>
      <c r="J87" s="168"/>
      <c r="K87" s="168">
        <f t="shared" si="14"/>
        <v>31</v>
      </c>
      <c r="L87" s="168">
        <f t="shared" si="15"/>
        <v>0</v>
      </c>
      <c r="M87" s="168">
        <f t="shared" si="16"/>
        <v>46.5</v>
      </c>
      <c r="N87" s="168">
        <f t="shared" si="17"/>
        <v>46.5</v>
      </c>
      <c r="O87" s="168">
        <f t="shared" si="18"/>
        <v>5.8125</v>
      </c>
      <c r="P87" s="170"/>
      <c r="Q87" s="171">
        <f t="shared" si="19"/>
        <v>3.875</v>
      </c>
    </row>
    <row r="88" spans="1:17" s="172" customFormat="1" ht="28.5" customHeight="1" x14ac:dyDescent="0.25">
      <c r="A88" s="71">
        <f>COUNTA($A$6:A87)</f>
        <v>80</v>
      </c>
      <c r="B88" s="195"/>
      <c r="C88" s="198" t="str">
        <f>IF($B88="","",VLOOKUP($B88,#REF!,2,0))</f>
        <v/>
      </c>
      <c r="D88" s="196" t="str">
        <f>IF($B88="","",VLOOKUP($B88,#REF!,4,0))</f>
        <v/>
      </c>
      <c r="E88" s="168"/>
      <c r="F88" s="169"/>
      <c r="G88" s="168">
        <v>7</v>
      </c>
      <c r="H88" s="169"/>
      <c r="I88" s="168">
        <f t="shared" si="13"/>
        <v>31</v>
      </c>
      <c r="J88" s="168"/>
      <c r="K88" s="168">
        <f t="shared" si="14"/>
        <v>31</v>
      </c>
      <c r="L88" s="168">
        <f t="shared" si="15"/>
        <v>0</v>
      </c>
      <c r="M88" s="168">
        <f t="shared" si="16"/>
        <v>46.5</v>
      </c>
      <c r="N88" s="168">
        <f t="shared" si="17"/>
        <v>46.5</v>
      </c>
      <c r="O88" s="168">
        <f t="shared" si="18"/>
        <v>5.8125</v>
      </c>
      <c r="P88" s="170"/>
      <c r="Q88" s="171">
        <f t="shared" si="19"/>
        <v>3.875</v>
      </c>
    </row>
    <row r="89" spans="1:17" s="172" customFormat="1" ht="28.5" customHeight="1" x14ac:dyDescent="0.25">
      <c r="A89" s="71">
        <f>COUNTA($A$6:A88)</f>
        <v>81</v>
      </c>
      <c r="B89" s="195"/>
      <c r="C89" s="198" t="str">
        <f>IF($B89="","",VLOOKUP($B89,#REF!,2,0))</f>
        <v/>
      </c>
      <c r="D89" s="196" t="str">
        <f>IF($B89="","",VLOOKUP($B89,#REF!,4,0))</f>
        <v/>
      </c>
      <c r="E89" s="168"/>
      <c r="F89" s="169"/>
      <c r="G89" s="168">
        <v>7</v>
      </c>
      <c r="H89" s="169"/>
      <c r="I89" s="168">
        <f t="shared" si="13"/>
        <v>31</v>
      </c>
      <c r="J89" s="168"/>
      <c r="K89" s="168">
        <f t="shared" si="14"/>
        <v>31</v>
      </c>
      <c r="L89" s="168">
        <f t="shared" si="15"/>
        <v>0</v>
      </c>
      <c r="M89" s="168">
        <f t="shared" si="16"/>
        <v>46.5</v>
      </c>
      <c r="N89" s="168">
        <f t="shared" si="17"/>
        <v>46.5</v>
      </c>
      <c r="O89" s="168">
        <f t="shared" si="18"/>
        <v>5.8125</v>
      </c>
      <c r="P89" s="170"/>
      <c r="Q89" s="171">
        <f t="shared" si="19"/>
        <v>3.875</v>
      </c>
    </row>
    <row r="90" spans="1:17" s="172" customFormat="1" ht="28.5" customHeight="1" x14ac:dyDescent="0.25">
      <c r="A90" s="71">
        <f>COUNTA($A$6:A89)</f>
        <v>82</v>
      </c>
      <c r="B90" s="195"/>
      <c r="C90" s="198" t="str">
        <f>IF($B90="","",VLOOKUP($B90,#REF!,2,0))</f>
        <v/>
      </c>
      <c r="D90" s="196" t="str">
        <f>IF($B90="","",VLOOKUP($B90,#REF!,4,0))</f>
        <v/>
      </c>
      <c r="E90" s="168"/>
      <c r="F90" s="169"/>
      <c r="G90" s="168">
        <v>7</v>
      </c>
      <c r="H90" s="169"/>
      <c r="I90" s="168">
        <f t="shared" si="13"/>
        <v>31</v>
      </c>
      <c r="J90" s="168"/>
      <c r="K90" s="168">
        <f t="shared" si="14"/>
        <v>31</v>
      </c>
      <c r="L90" s="168">
        <f t="shared" si="15"/>
        <v>0</v>
      </c>
      <c r="M90" s="168">
        <f t="shared" si="16"/>
        <v>46.5</v>
      </c>
      <c r="N90" s="168">
        <f t="shared" si="17"/>
        <v>46.5</v>
      </c>
      <c r="O90" s="168">
        <f t="shared" si="18"/>
        <v>5.8125</v>
      </c>
      <c r="P90" s="170"/>
      <c r="Q90" s="171">
        <f t="shared" si="19"/>
        <v>3.875</v>
      </c>
    </row>
    <row r="91" spans="1:17" s="172" customFormat="1" ht="28.5" customHeight="1" x14ac:dyDescent="0.25">
      <c r="A91" s="71">
        <f>COUNTA($A$6:A90)</f>
        <v>83</v>
      </c>
      <c r="B91" s="199"/>
      <c r="C91" s="200" t="str">
        <f>IF($B91="","",VLOOKUP($B91,#REF!,2,0))</f>
        <v/>
      </c>
      <c r="D91" s="195" t="str">
        <f>IF($B91="","",VLOOKUP($B91,#REF!,4,0))</f>
        <v/>
      </c>
      <c r="E91" s="168"/>
      <c r="F91" s="169"/>
      <c r="G91" s="168">
        <v>7</v>
      </c>
      <c r="H91" s="169"/>
      <c r="I91" s="168">
        <f t="shared" si="13"/>
        <v>31</v>
      </c>
      <c r="J91" s="168"/>
      <c r="K91" s="168">
        <f t="shared" si="14"/>
        <v>31</v>
      </c>
      <c r="L91" s="168">
        <f t="shared" si="15"/>
        <v>0</v>
      </c>
      <c r="M91" s="168">
        <f t="shared" si="16"/>
        <v>46.5</v>
      </c>
      <c r="N91" s="168">
        <f t="shared" si="17"/>
        <v>46.5</v>
      </c>
      <c r="O91" s="168">
        <f t="shared" si="18"/>
        <v>5.8125</v>
      </c>
      <c r="P91" s="170"/>
      <c r="Q91" s="171">
        <f t="shared" si="19"/>
        <v>3.875</v>
      </c>
    </row>
    <row r="92" spans="1:17" s="172" customFormat="1" ht="28.5" customHeight="1" x14ac:dyDescent="0.25">
      <c r="A92" s="71">
        <f>COUNTA($A$6:A91)</f>
        <v>84</v>
      </c>
      <c r="B92" s="199"/>
      <c r="C92" s="200" t="str">
        <f>IF($B92="","",VLOOKUP($B92,#REF!,2,0))</f>
        <v/>
      </c>
      <c r="D92" s="195" t="str">
        <f>IF($B92="","",VLOOKUP($B92,#REF!,4,0))</f>
        <v/>
      </c>
      <c r="E92" s="168"/>
      <c r="F92" s="169"/>
      <c r="G92" s="168">
        <v>7</v>
      </c>
      <c r="H92" s="169"/>
      <c r="I92" s="168">
        <f t="shared" si="13"/>
        <v>31</v>
      </c>
      <c r="J92" s="168"/>
      <c r="K92" s="168">
        <f t="shared" si="14"/>
        <v>31</v>
      </c>
      <c r="L92" s="168">
        <f t="shared" si="15"/>
        <v>0</v>
      </c>
      <c r="M92" s="168">
        <f t="shared" si="16"/>
        <v>46.5</v>
      </c>
      <c r="N92" s="168">
        <f t="shared" si="17"/>
        <v>46.5</v>
      </c>
      <c r="O92" s="168">
        <f t="shared" si="18"/>
        <v>5.8125</v>
      </c>
      <c r="P92" s="170"/>
      <c r="Q92" s="171">
        <f t="shared" si="19"/>
        <v>3.875</v>
      </c>
    </row>
    <row r="93" spans="1:17" s="172" customFormat="1" ht="28.5" customHeight="1" x14ac:dyDescent="0.25">
      <c r="A93" s="71">
        <f>COUNTA($A$6:A92)</f>
        <v>85</v>
      </c>
      <c r="B93" s="199"/>
      <c r="C93" s="200" t="str">
        <f>IF($B93="","",VLOOKUP($B93,#REF!,2,0))</f>
        <v/>
      </c>
      <c r="D93" s="195" t="str">
        <f>IF($B93="","",VLOOKUP($B93,#REF!,4,0))</f>
        <v/>
      </c>
      <c r="E93" s="168"/>
      <c r="F93" s="169"/>
      <c r="G93" s="168">
        <v>7</v>
      </c>
      <c r="H93" s="169"/>
      <c r="I93" s="168">
        <f t="shared" si="13"/>
        <v>31</v>
      </c>
      <c r="J93" s="168"/>
      <c r="K93" s="168">
        <f t="shared" si="14"/>
        <v>31</v>
      </c>
      <c r="L93" s="168">
        <f t="shared" si="15"/>
        <v>0</v>
      </c>
      <c r="M93" s="168">
        <f t="shared" si="16"/>
        <v>46.5</v>
      </c>
      <c r="N93" s="168">
        <f t="shared" si="17"/>
        <v>46.5</v>
      </c>
      <c r="O93" s="168">
        <f t="shared" si="18"/>
        <v>5.8125</v>
      </c>
      <c r="P93" s="170"/>
      <c r="Q93" s="171">
        <f t="shared" si="19"/>
        <v>3.875</v>
      </c>
    </row>
    <row r="94" spans="1:17" s="172" customFormat="1" ht="28.5" customHeight="1" x14ac:dyDescent="0.25">
      <c r="A94" s="71">
        <f>COUNTA($A$6:A93)</f>
        <v>86</v>
      </c>
      <c r="B94" s="199"/>
      <c r="C94" s="200" t="str">
        <f>IF($B94="","",VLOOKUP($B94,#REF!,2,0))</f>
        <v/>
      </c>
      <c r="D94" s="196" t="str">
        <f>IF($B94="","",VLOOKUP($B94,#REF!,4,0))</f>
        <v/>
      </c>
      <c r="E94" s="168"/>
      <c r="F94" s="169"/>
      <c r="G94" s="168">
        <v>7</v>
      </c>
      <c r="H94" s="169"/>
      <c r="I94" s="168">
        <f t="shared" si="13"/>
        <v>31</v>
      </c>
      <c r="J94" s="168"/>
      <c r="K94" s="168">
        <f t="shared" si="14"/>
        <v>31</v>
      </c>
      <c r="L94" s="168">
        <f t="shared" si="15"/>
        <v>0</v>
      </c>
      <c r="M94" s="168">
        <f t="shared" si="16"/>
        <v>46.5</v>
      </c>
      <c r="N94" s="168">
        <f t="shared" si="17"/>
        <v>46.5</v>
      </c>
      <c r="O94" s="168">
        <f t="shared" si="18"/>
        <v>5.8125</v>
      </c>
      <c r="P94" s="170"/>
      <c r="Q94" s="171">
        <f t="shared" si="19"/>
        <v>3.875</v>
      </c>
    </row>
    <row r="95" spans="1:17" s="172" customFormat="1" ht="28.5" customHeight="1" x14ac:dyDescent="0.25">
      <c r="A95" s="71">
        <f>COUNTA($A$6:A94)</f>
        <v>87</v>
      </c>
      <c r="B95" s="199"/>
      <c r="C95" s="200" t="str">
        <f>IF($B95="","",VLOOKUP($B95,#REF!,2,0))</f>
        <v/>
      </c>
      <c r="D95" s="196" t="str">
        <f>IF($B95="","",VLOOKUP($B95,#REF!,4,0))</f>
        <v/>
      </c>
      <c r="E95" s="168"/>
      <c r="F95" s="169"/>
      <c r="G95" s="168">
        <v>7</v>
      </c>
      <c r="H95" s="169"/>
      <c r="I95" s="168">
        <f t="shared" si="13"/>
        <v>31</v>
      </c>
      <c r="J95" s="168"/>
      <c r="K95" s="168">
        <f t="shared" si="14"/>
        <v>31</v>
      </c>
      <c r="L95" s="168">
        <f t="shared" si="15"/>
        <v>0</v>
      </c>
      <c r="M95" s="168">
        <f t="shared" si="16"/>
        <v>46.5</v>
      </c>
      <c r="N95" s="168">
        <f t="shared" si="17"/>
        <v>46.5</v>
      </c>
      <c r="O95" s="168">
        <f t="shared" si="18"/>
        <v>5.8125</v>
      </c>
      <c r="P95" s="170"/>
      <c r="Q95" s="171">
        <f t="shared" si="19"/>
        <v>3.875</v>
      </c>
    </row>
    <row r="96" spans="1:17" s="172" customFormat="1" ht="28.5" customHeight="1" x14ac:dyDescent="0.25">
      <c r="A96" s="71">
        <f>COUNTA($A$6:A95)</f>
        <v>88</v>
      </c>
      <c r="B96" s="199"/>
      <c r="C96" s="200" t="str">
        <f>IF($B96="","",VLOOKUP($B96,#REF!,2,0))</f>
        <v/>
      </c>
      <c r="D96" s="196" t="str">
        <f>IF($B96="","",VLOOKUP($B96,#REF!,4,0))</f>
        <v/>
      </c>
      <c r="E96" s="168"/>
      <c r="F96" s="169"/>
      <c r="G96" s="168">
        <v>7</v>
      </c>
      <c r="H96" s="169"/>
      <c r="I96" s="168">
        <f t="shared" si="13"/>
        <v>31</v>
      </c>
      <c r="J96" s="168"/>
      <c r="K96" s="168">
        <f t="shared" si="14"/>
        <v>31</v>
      </c>
      <c r="L96" s="168">
        <f t="shared" si="15"/>
        <v>0</v>
      </c>
      <c r="M96" s="168">
        <f t="shared" si="16"/>
        <v>46.5</v>
      </c>
      <c r="N96" s="168">
        <f t="shared" si="17"/>
        <v>46.5</v>
      </c>
      <c r="O96" s="168">
        <f t="shared" si="18"/>
        <v>5.8125</v>
      </c>
      <c r="P96" s="170"/>
      <c r="Q96" s="171">
        <f t="shared" si="19"/>
        <v>3.875</v>
      </c>
    </row>
    <row r="97" spans="1:17" s="172" customFormat="1" ht="28.5" customHeight="1" x14ac:dyDescent="0.25">
      <c r="A97" s="71">
        <f>COUNTA($A$6:A96)</f>
        <v>89</v>
      </c>
      <c r="B97" s="199"/>
      <c r="C97" s="200" t="str">
        <f>IF($B97="","",VLOOKUP($B97,#REF!,2,0))</f>
        <v/>
      </c>
      <c r="D97" s="196" t="str">
        <f>IF($B97="","",VLOOKUP($B97,#REF!,4,0))</f>
        <v/>
      </c>
      <c r="E97" s="168"/>
      <c r="F97" s="169"/>
      <c r="G97" s="168">
        <v>7</v>
      </c>
      <c r="H97" s="169"/>
      <c r="I97" s="168">
        <f t="shared" si="13"/>
        <v>31</v>
      </c>
      <c r="J97" s="168"/>
      <c r="K97" s="168">
        <f t="shared" si="14"/>
        <v>31</v>
      </c>
      <c r="L97" s="168">
        <f t="shared" si="15"/>
        <v>0</v>
      </c>
      <c r="M97" s="168">
        <f t="shared" si="16"/>
        <v>46.5</v>
      </c>
      <c r="N97" s="168">
        <f t="shared" si="17"/>
        <v>46.5</v>
      </c>
      <c r="O97" s="168">
        <f t="shared" si="18"/>
        <v>5.8125</v>
      </c>
      <c r="P97" s="170"/>
      <c r="Q97" s="171">
        <f t="shared" si="19"/>
        <v>3.875</v>
      </c>
    </row>
    <row r="98" spans="1:17" s="172" customFormat="1" ht="28.5" customHeight="1" x14ac:dyDescent="0.25">
      <c r="A98" s="71">
        <f>COUNTA($A$6:A97)</f>
        <v>90</v>
      </c>
      <c r="B98" s="199"/>
      <c r="C98" s="200" t="str">
        <f>IF($B98="","",VLOOKUP($B98,#REF!,2,0))</f>
        <v/>
      </c>
      <c r="D98" s="196" t="str">
        <f>IF($B98="","",VLOOKUP($B98,#REF!,4,0))</f>
        <v/>
      </c>
      <c r="E98" s="168"/>
      <c r="F98" s="169"/>
      <c r="G98" s="168">
        <v>7</v>
      </c>
      <c r="H98" s="169"/>
      <c r="I98" s="168">
        <f t="shared" si="13"/>
        <v>31</v>
      </c>
      <c r="J98" s="168"/>
      <c r="K98" s="168">
        <f t="shared" si="14"/>
        <v>31</v>
      </c>
      <c r="L98" s="168">
        <f t="shared" si="15"/>
        <v>0</v>
      </c>
      <c r="M98" s="168">
        <f t="shared" si="16"/>
        <v>46.5</v>
      </c>
      <c r="N98" s="168">
        <f t="shared" si="17"/>
        <v>46.5</v>
      </c>
      <c r="O98" s="168">
        <f t="shared" si="18"/>
        <v>5.8125</v>
      </c>
      <c r="P98" s="170"/>
      <c r="Q98" s="171">
        <f t="shared" si="19"/>
        <v>3.875</v>
      </c>
    </row>
    <row r="99" spans="1:17" s="172" customFormat="1" ht="28.5" customHeight="1" x14ac:dyDescent="0.25">
      <c r="A99" s="71">
        <f>COUNTA($A$6:A98)</f>
        <v>91</v>
      </c>
      <c r="B99" s="199"/>
      <c r="C99" s="200" t="str">
        <f>IF($B99="","",VLOOKUP($B99,#REF!,2,0))</f>
        <v/>
      </c>
      <c r="D99" s="196" t="str">
        <f>IF($B99="","",VLOOKUP($B99,#REF!,4,0))</f>
        <v/>
      </c>
      <c r="E99" s="168"/>
      <c r="F99" s="169"/>
      <c r="G99" s="168">
        <v>7</v>
      </c>
      <c r="H99" s="169"/>
      <c r="I99" s="168">
        <f t="shared" si="13"/>
        <v>31</v>
      </c>
      <c r="J99" s="201"/>
      <c r="K99" s="168">
        <f t="shared" si="14"/>
        <v>31</v>
      </c>
      <c r="L99" s="168">
        <f t="shared" si="15"/>
        <v>0</v>
      </c>
      <c r="M99" s="168">
        <f t="shared" si="16"/>
        <v>46.5</v>
      </c>
      <c r="N99" s="168">
        <f t="shared" si="17"/>
        <v>46.5</v>
      </c>
      <c r="O99" s="168">
        <f t="shared" si="18"/>
        <v>5.8125</v>
      </c>
      <c r="P99" s="170"/>
      <c r="Q99" s="171">
        <f t="shared" si="19"/>
        <v>3.875</v>
      </c>
    </row>
    <row r="100" spans="1:17" s="172" customFormat="1" ht="28.5" customHeight="1" x14ac:dyDescent="0.25">
      <c r="A100" s="71">
        <f>COUNTA($A$6:A99)</f>
        <v>92</v>
      </c>
      <c r="B100" s="202"/>
      <c r="C100" s="203" t="str">
        <f>IF($B100="","",VLOOKUP($B100,#REF!,2,0))</f>
        <v/>
      </c>
      <c r="D100" s="204" t="str">
        <f>IF($B100="","",VLOOKUP($B100,#REF!,4,0))</f>
        <v/>
      </c>
      <c r="E100" s="168"/>
      <c r="F100" s="169"/>
      <c r="G100" s="168">
        <v>7</v>
      </c>
      <c r="H100" s="169"/>
      <c r="I100" s="168">
        <f t="shared" si="13"/>
        <v>31</v>
      </c>
      <c r="J100" s="168"/>
      <c r="K100" s="168">
        <f t="shared" si="14"/>
        <v>31</v>
      </c>
      <c r="L100" s="168">
        <f t="shared" si="15"/>
        <v>0</v>
      </c>
      <c r="M100" s="168">
        <f t="shared" si="16"/>
        <v>46.5</v>
      </c>
      <c r="N100" s="168">
        <f t="shared" si="17"/>
        <v>46.5</v>
      </c>
      <c r="O100" s="168">
        <f t="shared" si="18"/>
        <v>5.8125</v>
      </c>
      <c r="P100" s="170"/>
      <c r="Q100" s="171">
        <f t="shared" si="19"/>
        <v>3.875</v>
      </c>
    </row>
    <row r="101" spans="1:17" s="172" customFormat="1" ht="28.5" customHeight="1" x14ac:dyDescent="0.25">
      <c r="A101" s="71">
        <f>COUNTA($A$6:A100)</f>
        <v>93</v>
      </c>
      <c r="B101" s="202"/>
      <c r="C101" s="203" t="str">
        <f>IF($B101="","",VLOOKUP($B101,#REF!,2,0))</f>
        <v/>
      </c>
      <c r="D101" s="204" t="str">
        <f>IF($B101="","",VLOOKUP($B101,#REF!,4,0))</f>
        <v/>
      </c>
      <c r="E101" s="168"/>
      <c r="F101" s="169"/>
      <c r="G101" s="168">
        <v>7</v>
      </c>
      <c r="H101" s="169"/>
      <c r="I101" s="168">
        <f t="shared" si="13"/>
        <v>31</v>
      </c>
      <c r="J101" s="168"/>
      <c r="K101" s="168">
        <f t="shared" si="14"/>
        <v>31</v>
      </c>
      <c r="L101" s="168">
        <f t="shared" si="15"/>
        <v>0</v>
      </c>
      <c r="M101" s="168">
        <f t="shared" si="16"/>
        <v>46.5</v>
      </c>
      <c r="N101" s="168">
        <f t="shared" si="17"/>
        <v>46.5</v>
      </c>
      <c r="O101" s="168">
        <f t="shared" si="18"/>
        <v>5.8125</v>
      </c>
      <c r="P101" s="170"/>
      <c r="Q101" s="171">
        <f t="shared" si="19"/>
        <v>3.875</v>
      </c>
    </row>
    <row r="102" spans="1:17" s="172" customFormat="1" ht="28.5" customHeight="1" x14ac:dyDescent="0.25">
      <c r="A102" s="71">
        <f>COUNTA($A$6:A101)</f>
        <v>94</v>
      </c>
      <c r="B102" s="202"/>
      <c r="C102" s="203" t="str">
        <f>IF($B102="","",VLOOKUP($B102,#REF!,2,0))</f>
        <v/>
      </c>
      <c r="D102" s="204" t="str">
        <f>IF($B102="","",VLOOKUP($B102,#REF!,4,0))</f>
        <v/>
      </c>
      <c r="E102" s="168"/>
      <c r="F102" s="169"/>
      <c r="G102" s="168">
        <v>7</v>
      </c>
      <c r="H102" s="169"/>
      <c r="I102" s="168">
        <f t="shared" si="13"/>
        <v>31</v>
      </c>
      <c r="J102" s="168"/>
      <c r="K102" s="168">
        <f t="shared" si="14"/>
        <v>31</v>
      </c>
      <c r="L102" s="168">
        <f t="shared" si="15"/>
        <v>0</v>
      </c>
      <c r="M102" s="168">
        <f t="shared" si="16"/>
        <v>46.5</v>
      </c>
      <c r="N102" s="168">
        <f t="shared" si="17"/>
        <v>46.5</v>
      </c>
      <c r="O102" s="168">
        <f t="shared" si="18"/>
        <v>5.8125</v>
      </c>
      <c r="P102" s="170"/>
      <c r="Q102" s="171">
        <f t="shared" si="19"/>
        <v>3.875</v>
      </c>
    </row>
    <row r="103" spans="1:17" s="172" customFormat="1" ht="28.5" customHeight="1" x14ac:dyDescent="0.25">
      <c r="A103" s="71">
        <f>COUNTA($A$6:A102)</f>
        <v>95</v>
      </c>
      <c r="B103" s="202"/>
      <c r="C103" s="203" t="str">
        <f>IF($B103="","",VLOOKUP($B103,#REF!,2,0))</f>
        <v/>
      </c>
      <c r="D103" s="204" t="str">
        <f>IF($B103="","",VLOOKUP($B103,#REF!,4,0))</f>
        <v/>
      </c>
      <c r="E103" s="168"/>
      <c r="F103" s="169"/>
      <c r="G103" s="168">
        <v>7</v>
      </c>
      <c r="H103" s="169"/>
      <c r="I103" s="168">
        <f t="shared" si="13"/>
        <v>31</v>
      </c>
      <c r="J103" s="168"/>
      <c r="K103" s="168">
        <f t="shared" si="14"/>
        <v>31</v>
      </c>
      <c r="L103" s="168">
        <f t="shared" si="15"/>
        <v>0</v>
      </c>
      <c r="M103" s="168">
        <f t="shared" si="16"/>
        <v>46.5</v>
      </c>
      <c r="N103" s="168">
        <f t="shared" si="17"/>
        <v>46.5</v>
      </c>
      <c r="O103" s="168">
        <f t="shared" si="18"/>
        <v>5.8125</v>
      </c>
      <c r="P103" s="170"/>
      <c r="Q103" s="171">
        <f t="shared" si="19"/>
        <v>3.875</v>
      </c>
    </row>
    <row r="104" spans="1:17" s="172" customFormat="1" ht="28.5" customHeight="1" x14ac:dyDescent="0.25">
      <c r="A104" s="71">
        <f>COUNTA($A$6:A103)</f>
        <v>96</v>
      </c>
      <c r="B104" s="202"/>
      <c r="C104" s="203" t="str">
        <f>IF($B104="","",VLOOKUP($B104,#REF!,2,0))</f>
        <v/>
      </c>
      <c r="D104" s="204" t="str">
        <f>IF($B104="","",VLOOKUP($B104,#REF!,4,0))</f>
        <v/>
      </c>
      <c r="E104" s="168"/>
      <c r="F104" s="169"/>
      <c r="G104" s="168">
        <v>7</v>
      </c>
      <c r="H104" s="169"/>
      <c r="I104" s="168">
        <f t="shared" si="13"/>
        <v>31</v>
      </c>
      <c r="J104" s="168"/>
      <c r="K104" s="168">
        <f t="shared" si="14"/>
        <v>31</v>
      </c>
      <c r="L104" s="168">
        <f t="shared" si="15"/>
        <v>0</v>
      </c>
      <c r="M104" s="168">
        <f t="shared" si="16"/>
        <v>46.5</v>
      </c>
      <c r="N104" s="168">
        <f t="shared" si="17"/>
        <v>46.5</v>
      </c>
      <c r="O104" s="168">
        <f t="shared" si="18"/>
        <v>5.8125</v>
      </c>
      <c r="P104" s="170"/>
      <c r="Q104" s="171">
        <f t="shared" si="19"/>
        <v>3.875</v>
      </c>
    </row>
    <row r="105" spans="1:17" s="172" customFormat="1" ht="28.5" customHeight="1" x14ac:dyDescent="0.25">
      <c r="A105" s="71">
        <f>COUNTA($A$6:A104)</f>
        <v>97</v>
      </c>
      <c r="B105" s="202"/>
      <c r="C105" s="203" t="str">
        <f>IF($B105="","",VLOOKUP($B105,#REF!,2,0))</f>
        <v/>
      </c>
      <c r="D105" s="204" t="str">
        <f>IF($B105="","",VLOOKUP($B105,#REF!,4,0))</f>
        <v/>
      </c>
      <c r="E105" s="168"/>
      <c r="F105" s="169"/>
      <c r="G105" s="168">
        <v>7</v>
      </c>
      <c r="H105" s="169"/>
      <c r="I105" s="168">
        <f t="shared" si="13"/>
        <v>31</v>
      </c>
      <c r="J105" s="168"/>
      <c r="K105" s="168">
        <f t="shared" si="14"/>
        <v>31</v>
      </c>
      <c r="L105" s="168">
        <f t="shared" si="15"/>
        <v>0</v>
      </c>
      <c r="M105" s="168">
        <f t="shared" si="16"/>
        <v>46.5</v>
      </c>
      <c r="N105" s="168">
        <f t="shared" si="17"/>
        <v>46.5</v>
      </c>
      <c r="O105" s="168">
        <f t="shared" si="18"/>
        <v>5.8125</v>
      </c>
      <c r="P105" s="170"/>
      <c r="Q105" s="171">
        <f t="shared" si="19"/>
        <v>3.875</v>
      </c>
    </row>
    <row r="106" spans="1:17" s="172" customFormat="1" ht="28.5" customHeight="1" x14ac:dyDescent="0.25">
      <c r="A106" s="71">
        <f>COUNTA($A$6:A105)</f>
        <v>98</v>
      </c>
      <c r="B106" s="202"/>
      <c r="C106" s="203" t="str">
        <f>IF($B106="","",VLOOKUP($B106,#REF!,2,0))</f>
        <v/>
      </c>
      <c r="D106" s="204" t="str">
        <f>IF($B106="","",VLOOKUP($B106,#REF!,4,0))</f>
        <v/>
      </c>
      <c r="E106" s="168"/>
      <c r="F106" s="169"/>
      <c r="G106" s="168">
        <v>7</v>
      </c>
      <c r="H106" s="169"/>
      <c r="I106" s="168">
        <f t="shared" si="13"/>
        <v>31</v>
      </c>
      <c r="J106" s="168"/>
      <c r="K106" s="168">
        <f t="shared" si="14"/>
        <v>31</v>
      </c>
      <c r="L106" s="168">
        <f t="shared" si="15"/>
        <v>0</v>
      </c>
      <c r="M106" s="168">
        <f t="shared" si="16"/>
        <v>46.5</v>
      </c>
      <c r="N106" s="168">
        <f t="shared" si="17"/>
        <v>46.5</v>
      </c>
      <c r="O106" s="168">
        <f t="shared" si="18"/>
        <v>5.8125</v>
      </c>
      <c r="P106" s="170"/>
      <c r="Q106" s="171">
        <f t="shared" si="19"/>
        <v>3.875</v>
      </c>
    </row>
  </sheetData>
  <autoFilter ref="A6:Q106" xr:uid="{00000000-0009-0000-0000-00000C000000}"/>
  <conditionalFormatting sqref="B7 B12">
    <cfRule type="duplicateValues" dxfId="17" priority="27"/>
  </conditionalFormatting>
  <conditionalFormatting sqref="B8">
    <cfRule type="duplicateValues" dxfId="16" priority="26"/>
  </conditionalFormatting>
  <conditionalFormatting sqref="B9">
    <cfRule type="duplicateValues" dxfId="15" priority="25"/>
  </conditionalFormatting>
  <conditionalFormatting sqref="B10">
    <cfRule type="duplicateValues" dxfId="14" priority="23"/>
    <cfRule type="duplicateValues" dxfId="13" priority="24"/>
  </conditionalFormatting>
  <conditionalFormatting sqref="B11">
    <cfRule type="duplicateValues" dxfId="12" priority="22"/>
  </conditionalFormatting>
  <conditionalFormatting sqref="B14">
    <cfRule type="duplicateValues" dxfId="11" priority="21"/>
  </conditionalFormatting>
  <conditionalFormatting sqref="B15">
    <cfRule type="duplicateValues" dxfId="10" priority="20"/>
  </conditionalFormatting>
  <conditionalFormatting sqref="B16">
    <cfRule type="duplicateValues" dxfId="9" priority="19"/>
  </conditionalFormatting>
  <conditionalFormatting sqref="B17">
    <cfRule type="duplicateValues" dxfId="8" priority="18"/>
  </conditionalFormatting>
  <conditionalFormatting sqref="B23">
    <cfRule type="duplicateValues" dxfId="7" priority="10"/>
    <cfRule type="duplicateValues" dxfId="6" priority="11"/>
    <cfRule type="duplicateValues" dxfId="5" priority="12"/>
  </conditionalFormatting>
  <conditionalFormatting sqref="B31:B48">
    <cfRule type="duplicateValues" dxfId="4" priority="14"/>
    <cfRule type="duplicateValues" dxfId="3" priority="15"/>
    <cfRule type="duplicateValues" dxfId="2" priority="16"/>
    <cfRule type="duplicateValues" dxfId="1" priority="17"/>
  </conditionalFormatting>
  <conditionalFormatting sqref="C22">
    <cfRule type="duplicateValues" dxfId="0" priority="13"/>
  </conditionalFormatting>
  <printOptions horizontalCentered="1"/>
  <pageMargins left="0.27559055118110237" right="0.15748031496062992" top="0.27559055118110237" bottom="0.39370078740157483" header="0.15748031496062992" footer="0.19685039370078741"/>
  <pageSetup paperSize="9" scale="82" fitToHeight="0" orientation="landscape" r:id="rId1"/>
  <headerFoot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0">
    <pageSetUpPr fitToPage="1"/>
  </sheetPr>
  <dimension ref="A1:W61"/>
  <sheetViews>
    <sheetView zoomScaleNormal="100" zoomScaleSheetLayoutView="100" workbookViewId="0">
      <selection activeCell="I13" sqref="I13"/>
    </sheetView>
  </sheetViews>
  <sheetFormatPr defaultRowHeight="12.75" x14ac:dyDescent="0.25"/>
  <cols>
    <col min="1" max="1" width="9.85546875" style="44" bestFit="1" customWidth="1"/>
    <col min="2" max="2" width="9.85546875" style="44" customWidth="1"/>
    <col min="3" max="3" width="19.140625" style="48" customWidth="1"/>
    <col min="4" max="4" width="20.5703125" style="44" customWidth="1"/>
    <col min="5" max="8" width="11.140625" style="44" customWidth="1"/>
    <col min="9" max="9" width="14.42578125" style="44" customWidth="1"/>
    <col min="10" max="10" width="14.140625" style="44" customWidth="1"/>
    <col min="11" max="11" width="8.140625" style="44" customWidth="1"/>
    <col min="12" max="12" width="8.5703125" style="44" customWidth="1"/>
    <col min="13" max="13" width="10" style="44" customWidth="1"/>
    <col min="14" max="16" width="9.140625" style="44"/>
    <col min="17" max="17" width="7.85546875" style="44" customWidth="1"/>
    <col min="18" max="18" width="9.140625" style="44"/>
    <col min="19" max="19" width="9.140625" style="44" customWidth="1"/>
    <col min="20" max="20" width="13.140625" style="44" customWidth="1"/>
    <col min="21" max="21" width="21.85546875" style="44" customWidth="1"/>
    <col min="22" max="22" width="17.5703125" style="44" customWidth="1"/>
    <col min="23" max="257" width="9.140625" style="44"/>
    <col min="258" max="258" width="9.85546875" style="44" bestFit="1" customWidth="1"/>
    <col min="259" max="259" width="19.140625" style="44" customWidth="1"/>
    <col min="260" max="260" width="20.5703125" style="44" customWidth="1"/>
    <col min="261" max="264" width="11.140625" style="44" customWidth="1"/>
    <col min="265" max="265" width="14.42578125" style="44" customWidth="1"/>
    <col min="266" max="266" width="14.140625" style="44" customWidth="1"/>
    <col min="267" max="267" width="8.140625" style="44" customWidth="1"/>
    <col min="268" max="268" width="8.5703125" style="44" customWidth="1"/>
    <col min="269" max="269" width="10" style="44" customWidth="1"/>
    <col min="270" max="272" width="9.140625" style="44"/>
    <col min="273" max="273" width="7.85546875" style="44" customWidth="1"/>
    <col min="274" max="275" width="9.140625" style="44"/>
    <col min="276" max="276" width="13.140625" style="44" customWidth="1"/>
    <col min="277" max="277" width="29.42578125" style="44" customWidth="1"/>
    <col min="278" max="278" width="22.85546875" style="44" customWidth="1"/>
    <col min="279" max="513" width="9.140625" style="44"/>
    <col min="514" max="514" width="9.85546875" style="44" bestFit="1" customWidth="1"/>
    <col min="515" max="515" width="19.140625" style="44" customWidth="1"/>
    <col min="516" max="516" width="20.5703125" style="44" customWidth="1"/>
    <col min="517" max="520" width="11.140625" style="44" customWidth="1"/>
    <col min="521" max="521" width="14.42578125" style="44" customWidth="1"/>
    <col min="522" max="522" width="14.140625" style="44" customWidth="1"/>
    <col min="523" max="523" width="8.140625" style="44" customWidth="1"/>
    <col min="524" max="524" width="8.5703125" style="44" customWidth="1"/>
    <col min="525" max="525" width="10" style="44" customWidth="1"/>
    <col min="526" max="528" width="9.140625" style="44"/>
    <col min="529" max="529" width="7.85546875" style="44" customWidth="1"/>
    <col min="530" max="531" width="9.140625" style="44"/>
    <col min="532" max="532" width="13.140625" style="44" customWidth="1"/>
    <col min="533" max="533" width="29.42578125" style="44" customWidth="1"/>
    <col min="534" max="534" width="22.85546875" style="44" customWidth="1"/>
    <col min="535" max="769" width="9.140625" style="44"/>
    <col min="770" max="770" width="9.85546875" style="44" bestFit="1" customWidth="1"/>
    <col min="771" max="771" width="19.140625" style="44" customWidth="1"/>
    <col min="772" max="772" width="20.5703125" style="44" customWidth="1"/>
    <col min="773" max="776" width="11.140625" style="44" customWidth="1"/>
    <col min="777" max="777" width="14.42578125" style="44" customWidth="1"/>
    <col min="778" max="778" width="14.140625" style="44" customWidth="1"/>
    <col min="779" max="779" width="8.140625" style="44" customWidth="1"/>
    <col min="780" max="780" width="8.5703125" style="44" customWidth="1"/>
    <col min="781" max="781" width="10" style="44" customWidth="1"/>
    <col min="782" max="784" width="9.140625" style="44"/>
    <col min="785" max="785" width="7.85546875" style="44" customWidth="1"/>
    <col min="786" max="787" width="9.140625" style="44"/>
    <col min="788" max="788" width="13.140625" style="44" customWidth="1"/>
    <col min="789" max="789" width="29.42578125" style="44" customWidth="1"/>
    <col min="790" max="790" width="22.85546875" style="44" customWidth="1"/>
    <col min="791" max="1025" width="9.140625" style="44"/>
    <col min="1026" max="1026" width="9.85546875" style="44" bestFit="1" customWidth="1"/>
    <col min="1027" max="1027" width="19.140625" style="44" customWidth="1"/>
    <col min="1028" max="1028" width="20.5703125" style="44" customWidth="1"/>
    <col min="1029" max="1032" width="11.140625" style="44" customWidth="1"/>
    <col min="1033" max="1033" width="14.42578125" style="44" customWidth="1"/>
    <col min="1034" max="1034" width="14.140625" style="44" customWidth="1"/>
    <col min="1035" max="1035" width="8.140625" style="44" customWidth="1"/>
    <col min="1036" max="1036" width="8.5703125" style="44" customWidth="1"/>
    <col min="1037" max="1037" width="10" style="44" customWidth="1"/>
    <col min="1038" max="1040" width="9.140625" style="44"/>
    <col min="1041" max="1041" width="7.85546875" style="44" customWidth="1"/>
    <col min="1042" max="1043" width="9.140625" style="44"/>
    <col min="1044" max="1044" width="13.140625" style="44" customWidth="1"/>
    <col min="1045" max="1045" width="29.42578125" style="44" customWidth="1"/>
    <col min="1046" max="1046" width="22.85546875" style="44" customWidth="1"/>
    <col min="1047" max="1281" width="9.140625" style="44"/>
    <col min="1282" max="1282" width="9.85546875" style="44" bestFit="1" customWidth="1"/>
    <col min="1283" max="1283" width="19.140625" style="44" customWidth="1"/>
    <col min="1284" max="1284" width="20.5703125" style="44" customWidth="1"/>
    <col min="1285" max="1288" width="11.140625" style="44" customWidth="1"/>
    <col min="1289" max="1289" width="14.42578125" style="44" customWidth="1"/>
    <col min="1290" max="1290" width="14.140625" style="44" customWidth="1"/>
    <col min="1291" max="1291" width="8.140625" style="44" customWidth="1"/>
    <col min="1292" max="1292" width="8.5703125" style="44" customWidth="1"/>
    <col min="1293" max="1293" width="10" style="44" customWidth="1"/>
    <col min="1294" max="1296" width="9.140625" style="44"/>
    <col min="1297" max="1297" width="7.85546875" style="44" customWidth="1"/>
    <col min="1298" max="1299" width="9.140625" style="44"/>
    <col min="1300" max="1300" width="13.140625" style="44" customWidth="1"/>
    <col min="1301" max="1301" width="29.42578125" style="44" customWidth="1"/>
    <col min="1302" max="1302" width="22.85546875" style="44" customWidth="1"/>
    <col min="1303" max="1537" width="9.140625" style="44"/>
    <col min="1538" max="1538" width="9.85546875" style="44" bestFit="1" customWidth="1"/>
    <col min="1539" max="1539" width="19.140625" style="44" customWidth="1"/>
    <col min="1540" max="1540" width="20.5703125" style="44" customWidth="1"/>
    <col min="1541" max="1544" width="11.140625" style="44" customWidth="1"/>
    <col min="1545" max="1545" width="14.42578125" style="44" customWidth="1"/>
    <col min="1546" max="1546" width="14.140625" style="44" customWidth="1"/>
    <col min="1547" max="1547" width="8.140625" style="44" customWidth="1"/>
    <col min="1548" max="1548" width="8.5703125" style="44" customWidth="1"/>
    <col min="1549" max="1549" width="10" style="44" customWidth="1"/>
    <col min="1550" max="1552" width="9.140625" style="44"/>
    <col min="1553" max="1553" width="7.85546875" style="44" customWidth="1"/>
    <col min="1554" max="1555" width="9.140625" style="44"/>
    <col min="1556" max="1556" width="13.140625" style="44" customWidth="1"/>
    <col min="1557" max="1557" width="29.42578125" style="44" customWidth="1"/>
    <col min="1558" max="1558" width="22.85546875" style="44" customWidth="1"/>
    <col min="1559" max="1793" width="9.140625" style="44"/>
    <col min="1794" max="1794" width="9.85546875" style="44" bestFit="1" customWidth="1"/>
    <col min="1795" max="1795" width="19.140625" style="44" customWidth="1"/>
    <col min="1796" max="1796" width="20.5703125" style="44" customWidth="1"/>
    <col min="1797" max="1800" width="11.140625" style="44" customWidth="1"/>
    <col min="1801" max="1801" width="14.42578125" style="44" customWidth="1"/>
    <col min="1802" max="1802" width="14.140625" style="44" customWidth="1"/>
    <col min="1803" max="1803" width="8.140625" style="44" customWidth="1"/>
    <col min="1804" max="1804" width="8.5703125" style="44" customWidth="1"/>
    <col min="1805" max="1805" width="10" style="44" customWidth="1"/>
    <col min="1806" max="1808" width="9.140625" style="44"/>
    <col min="1809" max="1809" width="7.85546875" style="44" customWidth="1"/>
    <col min="1810" max="1811" width="9.140625" style="44"/>
    <col min="1812" max="1812" width="13.140625" style="44" customWidth="1"/>
    <col min="1813" max="1813" width="29.42578125" style="44" customWidth="1"/>
    <col min="1814" max="1814" width="22.85546875" style="44" customWidth="1"/>
    <col min="1815" max="2049" width="9.140625" style="44"/>
    <col min="2050" max="2050" width="9.85546875" style="44" bestFit="1" customWidth="1"/>
    <col min="2051" max="2051" width="19.140625" style="44" customWidth="1"/>
    <col min="2052" max="2052" width="20.5703125" style="44" customWidth="1"/>
    <col min="2053" max="2056" width="11.140625" style="44" customWidth="1"/>
    <col min="2057" max="2057" width="14.42578125" style="44" customWidth="1"/>
    <col min="2058" max="2058" width="14.140625" style="44" customWidth="1"/>
    <col min="2059" max="2059" width="8.140625" style="44" customWidth="1"/>
    <col min="2060" max="2060" width="8.5703125" style="44" customWidth="1"/>
    <col min="2061" max="2061" width="10" style="44" customWidth="1"/>
    <col min="2062" max="2064" width="9.140625" style="44"/>
    <col min="2065" max="2065" width="7.85546875" style="44" customWidth="1"/>
    <col min="2066" max="2067" width="9.140625" style="44"/>
    <col min="2068" max="2068" width="13.140625" style="44" customWidth="1"/>
    <col min="2069" max="2069" width="29.42578125" style="44" customWidth="1"/>
    <col min="2070" max="2070" width="22.85546875" style="44" customWidth="1"/>
    <col min="2071" max="2305" width="9.140625" style="44"/>
    <col min="2306" max="2306" width="9.85546875" style="44" bestFit="1" customWidth="1"/>
    <col min="2307" max="2307" width="19.140625" style="44" customWidth="1"/>
    <col min="2308" max="2308" width="20.5703125" style="44" customWidth="1"/>
    <col min="2309" max="2312" width="11.140625" style="44" customWidth="1"/>
    <col min="2313" max="2313" width="14.42578125" style="44" customWidth="1"/>
    <col min="2314" max="2314" width="14.140625" style="44" customWidth="1"/>
    <col min="2315" max="2315" width="8.140625" style="44" customWidth="1"/>
    <col min="2316" max="2316" width="8.5703125" style="44" customWidth="1"/>
    <col min="2317" max="2317" width="10" style="44" customWidth="1"/>
    <col min="2318" max="2320" width="9.140625" style="44"/>
    <col min="2321" max="2321" width="7.85546875" style="44" customWidth="1"/>
    <col min="2322" max="2323" width="9.140625" style="44"/>
    <col min="2324" max="2324" width="13.140625" style="44" customWidth="1"/>
    <col min="2325" max="2325" width="29.42578125" style="44" customWidth="1"/>
    <col min="2326" max="2326" width="22.85546875" style="44" customWidth="1"/>
    <col min="2327" max="2561" width="9.140625" style="44"/>
    <col min="2562" max="2562" width="9.85546875" style="44" bestFit="1" customWidth="1"/>
    <col min="2563" max="2563" width="19.140625" style="44" customWidth="1"/>
    <col min="2564" max="2564" width="20.5703125" style="44" customWidth="1"/>
    <col min="2565" max="2568" width="11.140625" style="44" customWidth="1"/>
    <col min="2569" max="2569" width="14.42578125" style="44" customWidth="1"/>
    <col min="2570" max="2570" width="14.140625" style="44" customWidth="1"/>
    <col min="2571" max="2571" width="8.140625" style="44" customWidth="1"/>
    <col min="2572" max="2572" width="8.5703125" style="44" customWidth="1"/>
    <col min="2573" max="2573" width="10" style="44" customWidth="1"/>
    <col min="2574" max="2576" width="9.140625" style="44"/>
    <col min="2577" max="2577" width="7.85546875" style="44" customWidth="1"/>
    <col min="2578" max="2579" width="9.140625" style="44"/>
    <col min="2580" max="2580" width="13.140625" style="44" customWidth="1"/>
    <col min="2581" max="2581" width="29.42578125" style="44" customWidth="1"/>
    <col min="2582" max="2582" width="22.85546875" style="44" customWidth="1"/>
    <col min="2583" max="2817" width="9.140625" style="44"/>
    <col min="2818" max="2818" width="9.85546875" style="44" bestFit="1" customWidth="1"/>
    <col min="2819" max="2819" width="19.140625" style="44" customWidth="1"/>
    <col min="2820" max="2820" width="20.5703125" style="44" customWidth="1"/>
    <col min="2821" max="2824" width="11.140625" style="44" customWidth="1"/>
    <col min="2825" max="2825" width="14.42578125" style="44" customWidth="1"/>
    <col min="2826" max="2826" width="14.140625" style="44" customWidth="1"/>
    <col min="2827" max="2827" width="8.140625" style="44" customWidth="1"/>
    <col min="2828" max="2828" width="8.5703125" style="44" customWidth="1"/>
    <col min="2829" max="2829" width="10" style="44" customWidth="1"/>
    <col min="2830" max="2832" width="9.140625" style="44"/>
    <col min="2833" max="2833" width="7.85546875" style="44" customWidth="1"/>
    <col min="2834" max="2835" width="9.140625" style="44"/>
    <col min="2836" max="2836" width="13.140625" style="44" customWidth="1"/>
    <col min="2837" max="2837" width="29.42578125" style="44" customWidth="1"/>
    <col min="2838" max="2838" width="22.85546875" style="44" customWidth="1"/>
    <col min="2839" max="3073" width="9.140625" style="44"/>
    <col min="3074" max="3074" width="9.85546875" style="44" bestFit="1" customWidth="1"/>
    <col min="3075" max="3075" width="19.140625" style="44" customWidth="1"/>
    <col min="3076" max="3076" width="20.5703125" style="44" customWidth="1"/>
    <col min="3077" max="3080" width="11.140625" style="44" customWidth="1"/>
    <col min="3081" max="3081" width="14.42578125" style="44" customWidth="1"/>
    <col min="3082" max="3082" width="14.140625" style="44" customWidth="1"/>
    <col min="3083" max="3083" width="8.140625" style="44" customWidth="1"/>
    <col min="3084" max="3084" width="8.5703125" style="44" customWidth="1"/>
    <col min="3085" max="3085" width="10" style="44" customWidth="1"/>
    <col min="3086" max="3088" width="9.140625" style="44"/>
    <col min="3089" max="3089" width="7.85546875" style="44" customWidth="1"/>
    <col min="3090" max="3091" width="9.140625" style="44"/>
    <col min="3092" max="3092" width="13.140625" style="44" customWidth="1"/>
    <col min="3093" max="3093" width="29.42578125" style="44" customWidth="1"/>
    <col min="3094" max="3094" width="22.85546875" style="44" customWidth="1"/>
    <col min="3095" max="3329" width="9.140625" style="44"/>
    <col min="3330" max="3330" width="9.85546875" style="44" bestFit="1" customWidth="1"/>
    <col min="3331" max="3331" width="19.140625" style="44" customWidth="1"/>
    <col min="3332" max="3332" width="20.5703125" style="44" customWidth="1"/>
    <col min="3333" max="3336" width="11.140625" style="44" customWidth="1"/>
    <col min="3337" max="3337" width="14.42578125" style="44" customWidth="1"/>
    <col min="3338" max="3338" width="14.140625" style="44" customWidth="1"/>
    <col min="3339" max="3339" width="8.140625" style="44" customWidth="1"/>
    <col min="3340" max="3340" width="8.5703125" style="44" customWidth="1"/>
    <col min="3341" max="3341" width="10" style="44" customWidth="1"/>
    <col min="3342" max="3344" width="9.140625" style="44"/>
    <col min="3345" max="3345" width="7.85546875" style="44" customWidth="1"/>
    <col min="3346" max="3347" width="9.140625" style="44"/>
    <col min="3348" max="3348" width="13.140625" style="44" customWidth="1"/>
    <col min="3349" max="3349" width="29.42578125" style="44" customWidth="1"/>
    <col min="3350" max="3350" width="22.85546875" style="44" customWidth="1"/>
    <col min="3351" max="3585" width="9.140625" style="44"/>
    <col min="3586" max="3586" width="9.85546875" style="44" bestFit="1" customWidth="1"/>
    <col min="3587" max="3587" width="19.140625" style="44" customWidth="1"/>
    <col min="3588" max="3588" width="20.5703125" style="44" customWidth="1"/>
    <col min="3589" max="3592" width="11.140625" style="44" customWidth="1"/>
    <col min="3593" max="3593" width="14.42578125" style="44" customWidth="1"/>
    <col min="3594" max="3594" width="14.140625" style="44" customWidth="1"/>
    <col min="3595" max="3595" width="8.140625" style="44" customWidth="1"/>
    <col min="3596" max="3596" width="8.5703125" style="44" customWidth="1"/>
    <col min="3597" max="3597" width="10" style="44" customWidth="1"/>
    <col min="3598" max="3600" width="9.140625" style="44"/>
    <col min="3601" max="3601" width="7.85546875" style="44" customWidth="1"/>
    <col min="3602" max="3603" width="9.140625" style="44"/>
    <col min="3604" max="3604" width="13.140625" style="44" customWidth="1"/>
    <col min="3605" max="3605" width="29.42578125" style="44" customWidth="1"/>
    <col min="3606" max="3606" width="22.85546875" style="44" customWidth="1"/>
    <col min="3607" max="3841" width="9.140625" style="44"/>
    <col min="3842" max="3842" width="9.85546875" style="44" bestFit="1" customWidth="1"/>
    <col min="3843" max="3843" width="19.140625" style="44" customWidth="1"/>
    <col min="3844" max="3844" width="20.5703125" style="44" customWidth="1"/>
    <col min="3845" max="3848" width="11.140625" style="44" customWidth="1"/>
    <col min="3849" max="3849" width="14.42578125" style="44" customWidth="1"/>
    <col min="3850" max="3850" width="14.140625" style="44" customWidth="1"/>
    <col min="3851" max="3851" width="8.140625" style="44" customWidth="1"/>
    <col min="3852" max="3852" width="8.5703125" style="44" customWidth="1"/>
    <col min="3853" max="3853" width="10" style="44" customWidth="1"/>
    <col min="3854" max="3856" width="9.140625" style="44"/>
    <col min="3857" max="3857" width="7.85546875" style="44" customWidth="1"/>
    <col min="3858" max="3859" width="9.140625" style="44"/>
    <col min="3860" max="3860" width="13.140625" style="44" customWidth="1"/>
    <col min="3861" max="3861" width="29.42578125" style="44" customWidth="1"/>
    <col min="3862" max="3862" width="22.85546875" style="44" customWidth="1"/>
    <col min="3863" max="4097" width="9.140625" style="44"/>
    <col min="4098" max="4098" width="9.85546875" style="44" bestFit="1" customWidth="1"/>
    <col min="4099" max="4099" width="19.140625" style="44" customWidth="1"/>
    <col min="4100" max="4100" width="20.5703125" style="44" customWidth="1"/>
    <col min="4101" max="4104" width="11.140625" style="44" customWidth="1"/>
    <col min="4105" max="4105" width="14.42578125" style="44" customWidth="1"/>
    <col min="4106" max="4106" width="14.140625" style="44" customWidth="1"/>
    <col min="4107" max="4107" width="8.140625" style="44" customWidth="1"/>
    <col min="4108" max="4108" width="8.5703125" style="44" customWidth="1"/>
    <col min="4109" max="4109" width="10" style="44" customWidth="1"/>
    <col min="4110" max="4112" width="9.140625" style="44"/>
    <col min="4113" max="4113" width="7.85546875" style="44" customWidth="1"/>
    <col min="4114" max="4115" width="9.140625" style="44"/>
    <col min="4116" max="4116" width="13.140625" style="44" customWidth="1"/>
    <col min="4117" max="4117" width="29.42578125" style="44" customWidth="1"/>
    <col min="4118" max="4118" width="22.85546875" style="44" customWidth="1"/>
    <col min="4119" max="4353" width="9.140625" style="44"/>
    <col min="4354" max="4354" width="9.85546875" style="44" bestFit="1" customWidth="1"/>
    <col min="4355" max="4355" width="19.140625" style="44" customWidth="1"/>
    <col min="4356" max="4356" width="20.5703125" style="44" customWidth="1"/>
    <col min="4357" max="4360" width="11.140625" style="44" customWidth="1"/>
    <col min="4361" max="4361" width="14.42578125" style="44" customWidth="1"/>
    <col min="4362" max="4362" width="14.140625" style="44" customWidth="1"/>
    <col min="4363" max="4363" width="8.140625" style="44" customWidth="1"/>
    <col min="4364" max="4364" width="8.5703125" style="44" customWidth="1"/>
    <col min="4365" max="4365" width="10" style="44" customWidth="1"/>
    <col min="4366" max="4368" width="9.140625" style="44"/>
    <col min="4369" max="4369" width="7.85546875" style="44" customWidth="1"/>
    <col min="4370" max="4371" width="9.140625" style="44"/>
    <col min="4372" max="4372" width="13.140625" style="44" customWidth="1"/>
    <col min="4373" max="4373" width="29.42578125" style="44" customWidth="1"/>
    <col min="4374" max="4374" width="22.85546875" style="44" customWidth="1"/>
    <col min="4375" max="4609" width="9.140625" style="44"/>
    <col min="4610" max="4610" width="9.85546875" style="44" bestFit="1" customWidth="1"/>
    <col min="4611" max="4611" width="19.140625" style="44" customWidth="1"/>
    <col min="4612" max="4612" width="20.5703125" style="44" customWidth="1"/>
    <col min="4613" max="4616" width="11.140625" style="44" customWidth="1"/>
    <col min="4617" max="4617" width="14.42578125" style="44" customWidth="1"/>
    <col min="4618" max="4618" width="14.140625" style="44" customWidth="1"/>
    <col min="4619" max="4619" width="8.140625" style="44" customWidth="1"/>
    <col min="4620" max="4620" width="8.5703125" style="44" customWidth="1"/>
    <col min="4621" max="4621" width="10" style="44" customWidth="1"/>
    <col min="4622" max="4624" width="9.140625" style="44"/>
    <col min="4625" max="4625" width="7.85546875" style="44" customWidth="1"/>
    <col min="4626" max="4627" width="9.140625" style="44"/>
    <col min="4628" max="4628" width="13.140625" style="44" customWidth="1"/>
    <col min="4629" max="4629" width="29.42578125" style="44" customWidth="1"/>
    <col min="4630" max="4630" width="22.85546875" style="44" customWidth="1"/>
    <col min="4631" max="4865" width="9.140625" style="44"/>
    <col min="4866" max="4866" width="9.85546875" style="44" bestFit="1" customWidth="1"/>
    <col min="4867" max="4867" width="19.140625" style="44" customWidth="1"/>
    <col min="4868" max="4868" width="20.5703125" style="44" customWidth="1"/>
    <col min="4869" max="4872" width="11.140625" style="44" customWidth="1"/>
    <col min="4873" max="4873" width="14.42578125" style="44" customWidth="1"/>
    <col min="4874" max="4874" width="14.140625" style="44" customWidth="1"/>
    <col min="4875" max="4875" width="8.140625" style="44" customWidth="1"/>
    <col min="4876" max="4876" width="8.5703125" style="44" customWidth="1"/>
    <col min="4877" max="4877" width="10" style="44" customWidth="1"/>
    <col min="4878" max="4880" width="9.140625" style="44"/>
    <col min="4881" max="4881" width="7.85546875" style="44" customWidth="1"/>
    <col min="4882" max="4883" width="9.140625" style="44"/>
    <col min="4884" max="4884" width="13.140625" style="44" customWidth="1"/>
    <col min="4885" max="4885" width="29.42578125" style="44" customWidth="1"/>
    <col min="4886" max="4886" width="22.85546875" style="44" customWidth="1"/>
    <col min="4887" max="5121" width="9.140625" style="44"/>
    <col min="5122" max="5122" width="9.85546875" style="44" bestFit="1" customWidth="1"/>
    <col min="5123" max="5123" width="19.140625" style="44" customWidth="1"/>
    <col min="5124" max="5124" width="20.5703125" style="44" customWidth="1"/>
    <col min="5125" max="5128" width="11.140625" style="44" customWidth="1"/>
    <col min="5129" max="5129" width="14.42578125" style="44" customWidth="1"/>
    <col min="5130" max="5130" width="14.140625" style="44" customWidth="1"/>
    <col min="5131" max="5131" width="8.140625" style="44" customWidth="1"/>
    <col min="5132" max="5132" width="8.5703125" style="44" customWidth="1"/>
    <col min="5133" max="5133" width="10" style="44" customWidth="1"/>
    <col min="5134" max="5136" width="9.140625" style="44"/>
    <col min="5137" max="5137" width="7.85546875" style="44" customWidth="1"/>
    <col min="5138" max="5139" width="9.140625" style="44"/>
    <col min="5140" max="5140" width="13.140625" style="44" customWidth="1"/>
    <col min="5141" max="5141" width="29.42578125" style="44" customWidth="1"/>
    <col min="5142" max="5142" width="22.85546875" style="44" customWidth="1"/>
    <col min="5143" max="5377" width="9.140625" style="44"/>
    <col min="5378" max="5378" width="9.85546875" style="44" bestFit="1" customWidth="1"/>
    <col min="5379" max="5379" width="19.140625" style="44" customWidth="1"/>
    <col min="5380" max="5380" width="20.5703125" style="44" customWidth="1"/>
    <col min="5381" max="5384" width="11.140625" style="44" customWidth="1"/>
    <col min="5385" max="5385" width="14.42578125" style="44" customWidth="1"/>
    <col min="5386" max="5386" width="14.140625" style="44" customWidth="1"/>
    <col min="5387" max="5387" width="8.140625" style="44" customWidth="1"/>
    <col min="5388" max="5388" width="8.5703125" style="44" customWidth="1"/>
    <col min="5389" max="5389" width="10" style="44" customWidth="1"/>
    <col min="5390" max="5392" width="9.140625" style="44"/>
    <col min="5393" max="5393" width="7.85546875" style="44" customWidth="1"/>
    <col min="5394" max="5395" width="9.140625" style="44"/>
    <col min="5396" max="5396" width="13.140625" style="44" customWidth="1"/>
    <col min="5397" max="5397" width="29.42578125" style="44" customWidth="1"/>
    <col min="5398" max="5398" width="22.85546875" style="44" customWidth="1"/>
    <col min="5399" max="5633" width="9.140625" style="44"/>
    <col min="5634" max="5634" width="9.85546875" style="44" bestFit="1" customWidth="1"/>
    <col min="5635" max="5635" width="19.140625" style="44" customWidth="1"/>
    <col min="5636" max="5636" width="20.5703125" style="44" customWidth="1"/>
    <col min="5637" max="5640" width="11.140625" style="44" customWidth="1"/>
    <col min="5641" max="5641" width="14.42578125" style="44" customWidth="1"/>
    <col min="5642" max="5642" width="14.140625" style="44" customWidth="1"/>
    <col min="5643" max="5643" width="8.140625" style="44" customWidth="1"/>
    <col min="5644" max="5644" width="8.5703125" style="44" customWidth="1"/>
    <col min="5645" max="5645" width="10" style="44" customWidth="1"/>
    <col min="5646" max="5648" width="9.140625" style="44"/>
    <col min="5649" max="5649" width="7.85546875" style="44" customWidth="1"/>
    <col min="5650" max="5651" width="9.140625" style="44"/>
    <col min="5652" max="5652" width="13.140625" style="44" customWidth="1"/>
    <col min="5653" max="5653" width="29.42578125" style="44" customWidth="1"/>
    <col min="5654" max="5654" width="22.85546875" style="44" customWidth="1"/>
    <col min="5655" max="5889" width="9.140625" style="44"/>
    <col min="5890" max="5890" width="9.85546875" style="44" bestFit="1" customWidth="1"/>
    <col min="5891" max="5891" width="19.140625" style="44" customWidth="1"/>
    <col min="5892" max="5892" width="20.5703125" style="44" customWidth="1"/>
    <col min="5893" max="5896" width="11.140625" style="44" customWidth="1"/>
    <col min="5897" max="5897" width="14.42578125" style="44" customWidth="1"/>
    <col min="5898" max="5898" width="14.140625" style="44" customWidth="1"/>
    <col min="5899" max="5899" width="8.140625" style="44" customWidth="1"/>
    <col min="5900" max="5900" width="8.5703125" style="44" customWidth="1"/>
    <col min="5901" max="5901" width="10" style="44" customWidth="1"/>
    <col min="5902" max="5904" width="9.140625" style="44"/>
    <col min="5905" max="5905" width="7.85546875" style="44" customWidth="1"/>
    <col min="5906" max="5907" width="9.140625" style="44"/>
    <col min="5908" max="5908" width="13.140625" style="44" customWidth="1"/>
    <col min="5909" max="5909" width="29.42578125" style="44" customWidth="1"/>
    <col min="5910" max="5910" width="22.85546875" style="44" customWidth="1"/>
    <col min="5911" max="6145" width="9.140625" style="44"/>
    <col min="6146" max="6146" width="9.85546875" style="44" bestFit="1" customWidth="1"/>
    <col min="6147" max="6147" width="19.140625" style="44" customWidth="1"/>
    <col min="6148" max="6148" width="20.5703125" style="44" customWidth="1"/>
    <col min="6149" max="6152" width="11.140625" style="44" customWidth="1"/>
    <col min="6153" max="6153" width="14.42578125" style="44" customWidth="1"/>
    <col min="6154" max="6154" width="14.140625" style="44" customWidth="1"/>
    <col min="6155" max="6155" width="8.140625" style="44" customWidth="1"/>
    <col min="6156" max="6156" width="8.5703125" style="44" customWidth="1"/>
    <col min="6157" max="6157" width="10" style="44" customWidth="1"/>
    <col min="6158" max="6160" width="9.140625" style="44"/>
    <col min="6161" max="6161" width="7.85546875" style="44" customWidth="1"/>
    <col min="6162" max="6163" width="9.140625" style="44"/>
    <col min="6164" max="6164" width="13.140625" style="44" customWidth="1"/>
    <col min="6165" max="6165" width="29.42578125" style="44" customWidth="1"/>
    <col min="6166" max="6166" width="22.85546875" style="44" customWidth="1"/>
    <col min="6167" max="6401" width="9.140625" style="44"/>
    <col min="6402" max="6402" width="9.85546875" style="44" bestFit="1" customWidth="1"/>
    <col min="6403" max="6403" width="19.140625" style="44" customWidth="1"/>
    <col min="6404" max="6404" width="20.5703125" style="44" customWidth="1"/>
    <col min="6405" max="6408" width="11.140625" style="44" customWidth="1"/>
    <col min="6409" max="6409" width="14.42578125" style="44" customWidth="1"/>
    <col min="6410" max="6410" width="14.140625" style="44" customWidth="1"/>
    <col min="6411" max="6411" width="8.140625" style="44" customWidth="1"/>
    <col min="6412" max="6412" width="8.5703125" style="44" customWidth="1"/>
    <col min="6413" max="6413" width="10" style="44" customWidth="1"/>
    <col min="6414" max="6416" width="9.140625" style="44"/>
    <col min="6417" max="6417" width="7.85546875" style="44" customWidth="1"/>
    <col min="6418" max="6419" width="9.140625" style="44"/>
    <col min="6420" max="6420" width="13.140625" style="44" customWidth="1"/>
    <col min="6421" max="6421" width="29.42578125" style="44" customWidth="1"/>
    <col min="6422" max="6422" width="22.85546875" style="44" customWidth="1"/>
    <col min="6423" max="6657" width="9.140625" style="44"/>
    <col min="6658" max="6658" width="9.85546875" style="44" bestFit="1" customWidth="1"/>
    <col min="6659" max="6659" width="19.140625" style="44" customWidth="1"/>
    <col min="6660" max="6660" width="20.5703125" style="44" customWidth="1"/>
    <col min="6661" max="6664" width="11.140625" style="44" customWidth="1"/>
    <col min="6665" max="6665" width="14.42578125" style="44" customWidth="1"/>
    <col min="6666" max="6666" width="14.140625" style="44" customWidth="1"/>
    <col min="6667" max="6667" width="8.140625" style="44" customWidth="1"/>
    <col min="6668" max="6668" width="8.5703125" style="44" customWidth="1"/>
    <col min="6669" max="6669" width="10" style="44" customWidth="1"/>
    <col min="6670" max="6672" width="9.140625" style="44"/>
    <col min="6673" max="6673" width="7.85546875" style="44" customWidth="1"/>
    <col min="6674" max="6675" width="9.140625" style="44"/>
    <col min="6676" max="6676" width="13.140625" style="44" customWidth="1"/>
    <col min="6677" max="6677" width="29.42578125" style="44" customWidth="1"/>
    <col min="6678" max="6678" width="22.85546875" style="44" customWidth="1"/>
    <col min="6679" max="6913" width="9.140625" style="44"/>
    <col min="6914" max="6914" width="9.85546875" style="44" bestFit="1" customWidth="1"/>
    <col min="6915" max="6915" width="19.140625" style="44" customWidth="1"/>
    <col min="6916" max="6916" width="20.5703125" style="44" customWidth="1"/>
    <col min="6917" max="6920" width="11.140625" style="44" customWidth="1"/>
    <col min="6921" max="6921" width="14.42578125" style="44" customWidth="1"/>
    <col min="6922" max="6922" width="14.140625" style="44" customWidth="1"/>
    <col min="6923" max="6923" width="8.140625" style="44" customWidth="1"/>
    <col min="6924" max="6924" width="8.5703125" style="44" customWidth="1"/>
    <col min="6925" max="6925" width="10" style="44" customWidth="1"/>
    <col min="6926" max="6928" width="9.140625" style="44"/>
    <col min="6929" max="6929" width="7.85546875" style="44" customWidth="1"/>
    <col min="6930" max="6931" width="9.140625" style="44"/>
    <col min="6932" max="6932" width="13.140625" style="44" customWidth="1"/>
    <col min="6933" max="6933" width="29.42578125" style="44" customWidth="1"/>
    <col min="6934" max="6934" width="22.85546875" style="44" customWidth="1"/>
    <col min="6935" max="7169" width="9.140625" style="44"/>
    <col min="7170" max="7170" width="9.85546875" style="44" bestFit="1" customWidth="1"/>
    <col min="7171" max="7171" width="19.140625" style="44" customWidth="1"/>
    <col min="7172" max="7172" width="20.5703125" style="44" customWidth="1"/>
    <col min="7173" max="7176" width="11.140625" style="44" customWidth="1"/>
    <col min="7177" max="7177" width="14.42578125" style="44" customWidth="1"/>
    <col min="7178" max="7178" width="14.140625" style="44" customWidth="1"/>
    <col min="7179" max="7179" width="8.140625" style="44" customWidth="1"/>
    <col min="7180" max="7180" width="8.5703125" style="44" customWidth="1"/>
    <col min="7181" max="7181" width="10" style="44" customWidth="1"/>
    <col min="7182" max="7184" width="9.140625" style="44"/>
    <col min="7185" max="7185" width="7.85546875" style="44" customWidth="1"/>
    <col min="7186" max="7187" width="9.140625" style="44"/>
    <col min="7188" max="7188" width="13.140625" style="44" customWidth="1"/>
    <col min="7189" max="7189" width="29.42578125" style="44" customWidth="1"/>
    <col min="7190" max="7190" width="22.85546875" style="44" customWidth="1"/>
    <col min="7191" max="7425" width="9.140625" style="44"/>
    <col min="7426" max="7426" width="9.85546875" style="44" bestFit="1" customWidth="1"/>
    <col min="7427" max="7427" width="19.140625" style="44" customWidth="1"/>
    <col min="7428" max="7428" width="20.5703125" style="44" customWidth="1"/>
    <col min="7429" max="7432" width="11.140625" style="44" customWidth="1"/>
    <col min="7433" max="7433" width="14.42578125" style="44" customWidth="1"/>
    <col min="7434" max="7434" width="14.140625" style="44" customWidth="1"/>
    <col min="7435" max="7435" width="8.140625" style="44" customWidth="1"/>
    <col min="7436" max="7436" width="8.5703125" style="44" customWidth="1"/>
    <col min="7437" max="7437" width="10" style="44" customWidth="1"/>
    <col min="7438" max="7440" width="9.140625" style="44"/>
    <col min="7441" max="7441" width="7.85546875" style="44" customWidth="1"/>
    <col min="7442" max="7443" width="9.140625" style="44"/>
    <col min="7444" max="7444" width="13.140625" style="44" customWidth="1"/>
    <col min="7445" max="7445" width="29.42578125" style="44" customWidth="1"/>
    <col min="7446" max="7446" width="22.85546875" style="44" customWidth="1"/>
    <col min="7447" max="7681" width="9.140625" style="44"/>
    <col min="7682" max="7682" width="9.85546875" style="44" bestFit="1" customWidth="1"/>
    <col min="7683" max="7683" width="19.140625" style="44" customWidth="1"/>
    <col min="7684" max="7684" width="20.5703125" style="44" customWidth="1"/>
    <col min="7685" max="7688" width="11.140625" style="44" customWidth="1"/>
    <col min="7689" max="7689" width="14.42578125" style="44" customWidth="1"/>
    <col min="7690" max="7690" width="14.140625" style="44" customWidth="1"/>
    <col min="7691" max="7691" width="8.140625" style="44" customWidth="1"/>
    <col min="7692" max="7692" width="8.5703125" style="44" customWidth="1"/>
    <col min="7693" max="7693" width="10" style="44" customWidth="1"/>
    <col min="7694" max="7696" width="9.140625" style="44"/>
    <col min="7697" max="7697" width="7.85546875" style="44" customWidth="1"/>
    <col min="7698" max="7699" width="9.140625" style="44"/>
    <col min="7700" max="7700" width="13.140625" style="44" customWidth="1"/>
    <col min="7701" max="7701" width="29.42578125" style="44" customWidth="1"/>
    <col min="7702" max="7702" width="22.85546875" style="44" customWidth="1"/>
    <col min="7703" max="7937" width="9.140625" style="44"/>
    <col min="7938" max="7938" width="9.85546875" style="44" bestFit="1" customWidth="1"/>
    <col min="7939" max="7939" width="19.140625" style="44" customWidth="1"/>
    <col min="7940" max="7940" width="20.5703125" style="44" customWidth="1"/>
    <col min="7941" max="7944" width="11.140625" style="44" customWidth="1"/>
    <col min="7945" max="7945" width="14.42578125" style="44" customWidth="1"/>
    <col min="7946" max="7946" width="14.140625" style="44" customWidth="1"/>
    <col min="7947" max="7947" width="8.140625" style="44" customWidth="1"/>
    <col min="7948" max="7948" width="8.5703125" style="44" customWidth="1"/>
    <col min="7949" max="7949" width="10" style="44" customWidth="1"/>
    <col min="7950" max="7952" width="9.140625" style="44"/>
    <col min="7953" max="7953" width="7.85546875" style="44" customWidth="1"/>
    <col min="7954" max="7955" width="9.140625" style="44"/>
    <col min="7956" max="7956" width="13.140625" style="44" customWidth="1"/>
    <col min="7957" max="7957" width="29.42578125" style="44" customWidth="1"/>
    <col min="7958" max="7958" width="22.85546875" style="44" customWidth="1"/>
    <col min="7959" max="8193" width="9.140625" style="44"/>
    <col min="8194" max="8194" width="9.85546875" style="44" bestFit="1" customWidth="1"/>
    <col min="8195" max="8195" width="19.140625" style="44" customWidth="1"/>
    <col min="8196" max="8196" width="20.5703125" style="44" customWidth="1"/>
    <col min="8197" max="8200" width="11.140625" style="44" customWidth="1"/>
    <col min="8201" max="8201" width="14.42578125" style="44" customWidth="1"/>
    <col min="8202" max="8202" width="14.140625" style="44" customWidth="1"/>
    <col min="8203" max="8203" width="8.140625" style="44" customWidth="1"/>
    <col min="8204" max="8204" width="8.5703125" style="44" customWidth="1"/>
    <col min="8205" max="8205" width="10" style="44" customWidth="1"/>
    <col min="8206" max="8208" width="9.140625" style="44"/>
    <col min="8209" max="8209" width="7.85546875" style="44" customWidth="1"/>
    <col min="8210" max="8211" width="9.140625" style="44"/>
    <col min="8212" max="8212" width="13.140625" style="44" customWidth="1"/>
    <col min="8213" max="8213" width="29.42578125" style="44" customWidth="1"/>
    <col min="8214" max="8214" width="22.85546875" style="44" customWidth="1"/>
    <col min="8215" max="8449" width="9.140625" style="44"/>
    <col min="8450" max="8450" width="9.85546875" style="44" bestFit="1" customWidth="1"/>
    <col min="8451" max="8451" width="19.140625" style="44" customWidth="1"/>
    <col min="8452" max="8452" width="20.5703125" style="44" customWidth="1"/>
    <col min="8453" max="8456" width="11.140625" style="44" customWidth="1"/>
    <col min="8457" max="8457" width="14.42578125" style="44" customWidth="1"/>
    <col min="8458" max="8458" width="14.140625" style="44" customWidth="1"/>
    <col min="8459" max="8459" width="8.140625" style="44" customWidth="1"/>
    <col min="8460" max="8460" width="8.5703125" style="44" customWidth="1"/>
    <col min="8461" max="8461" width="10" style="44" customWidth="1"/>
    <col min="8462" max="8464" width="9.140625" style="44"/>
    <col min="8465" max="8465" width="7.85546875" style="44" customWidth="1"/>
    <col min="8466" max="8467" width="9.140625" style="44"/>
    <col min="8468" max="8468" width="13.140625" style="44" customWidth="1"/>
    <col min="8469" max="8469" width="29.42578125" style="44" customWidth="1"/>
    <col min="8470" max="8470" width="22.85546875" style="44" customWidth="1"/>
    <col min="8471" max="8705" width="9.140625" style="44"/>
    <col min="8706" max="8706" width="9.85546875" style="44" bestFit="1" customWidth="1"/>
    <col min="8707" max="8707" width="19.140625" style="44" customWidth="1"/>
    <col min="8708" max="8708" width="20.5703125" style="44" customWidth="1"/>
    <col min="8709" max="8712" width="11.140625" style="44" customWidth="1"/>
    <col min="8713" max="8713" width="14.42578125" style="44" customWidth="1"/>
    <col min="8714" max="8714" width="14.140625" style="44" customWidth="1"/>
    <col min="8715" max="8715" width="8.140625" style="44" customWidth="1"/>
    <col min="8716" max="8716" width="8.5703125" style="44" customWidth="1"/>
    <col min="8717" max="8717" width="10" style="44" customWidth="1"/>
    <col min="8718" max="8720" width="9.140625" style="44"/>
    <col min="8721" max="8721" width="7.85546875" style="44" customWidth="1"/>
    <col min="8722" max="8723" width="9.140625" style="44"/>
    <col min="8724" max="8724" width="13.140625" style="44" customWidth="1"/>
    <col min="8725" max="8725" width="29.42578125" style="44" customWidth="1"/>
    <col min="8726" max="8726" width="22.85546875" style="44" customWidth="1"/>
    <col min="8727" max="8961" width="9.140625" style="44"/>
    <col min="8962" max="8962" width="9.85546875" style="44" bestFit="1" customWidth="1"/>
    <col min="8963" max="8963" width="19.140625" style="44" customWidth="1"/>
    <col min="8964" max="8964" width="20.5703125" style="44" customWidth="1"/>
    <col min="8965" max="8968" width="11.140625" style="44" customWidth="1"/>
    <col min="8969" max="8969" width="14.42578125" style="44" customWidth="1"/>
    <col min="8970" max="8970" width="14.140625" style="44" customWidth="1"/>
    <col min="8971" max="8971" width="8.140625" style="44" customWidth="1"/>
    <col min="8972" max="8972" width="8.5703125" style="44" customWidth="1"/>
    <col min="8973" max="8973" width="10" style="44" customWidth="1"/>
    <col min="8974" max="8976" width="9.140625" style="44"/>
    <col min="8977" max="8977" width="7.85546875" style="44" customWidth="1"/>
    <col min="8978" max="8979" width="9.140625" style="44"/>
    <col min="8980" max="8980" width="13.140625" style="44" customWidth="1"/>
    <col min="8981" max="8981" width="29.42578125" style="44" customWidth="1"/>
    <col min="8982" max="8982" width="22.85546875" style="44" customWidth="1"/>
    <col min="8983" max="9217" width="9.140625" style="44"/>
    <col min="9218" max="9218" width="9.85546875" style="44" bestFit="1" customWidth="1"/>
    <col min="9219" max="9219" width="19.140625" style="44" customWidth="1"/>
    <col min="9220" max="9220" width="20.5703125" style="44" customWidth="1"/>
    <col min="9221" max="9224" width="11.140625" style="44" customWidth="1"/>
    <col min="9225" max="9225" width="14.42578125" style="44" customWidth="1"/>
    <col min="9226" max="9226" width="14.140625" style="44" customWidth="1"/>
    <col min="9227" max="9227" width="8.140625" style="44" customWidth="1"/>
    <col min="9228" max="9228" width="8.5703125" style="44" customWidth="1"/>
    <col min="9229" max="9229" width="10" style="44" customWidth="1"/>
    <col min="9230" max="9232" width="9.140625" style="44"/>
    <col min="9233" max="9233" width="7.85546875" style="44" customWidth="1"/>
    <col min="9234" max="9235" width="9.140625" style="44"/>
    <col min="9236" max="9236" width="13.140625" style="44" customWidth="1"/>
    <col min="9237" max="9237" width="29.42578125" style="44" customWidth="1"/>
    <col min="9238" max="9238" width="22.85546875" style="44" customWidth="1"/>
    <col min="9239" max="9473" width="9.140625" style="44"/>
    <col min="9474" max="9474" width="9.85546875" style="44" bestFit="1" customWidth="1"/>
    <col min="9475" max="9475" width="19.140625" style="44" customWidth="1"/>
    <col min="9476" max="9476" width="20.5703125" style="44" customWidth="1"/>
    <col min="9477" max="9480" width="11.140625" style="44" customWidth="1"/>
    <col min="9481" max="9481" width="14.42578125" style="44" customWidth="1"/>
    <col min="9482" max="9482" width="14.140625" style="44" customWidth="1"/>
    <col min="9483" max="9483" width="8.140625" style="44" customWidth="1"/>
    <col min="9484" max="9484" width="8.5703125" style="44" customWidth="1"/>
    <col min="9485" max="9485" width="10" style="44" customWidth="1"/>
    <col min="9486" max="9488" width="9.140625" style="44"/>
    <col min="9489" max="9489" width="7.85546875" style="44" customWidth="1"/>
    <col min="9490" max="9491" width="9.140625" style="44"/>
    <col min="9492" max="9492" width="13.140625" style="44" customWidth="1"/>
    <col min="9493" max="9493" width="29.42578125" style="44" customWidth="1"/>
    <col min="9494" max="9494" width="22.85546875" style="44" customWidth="1"/>
    <col min="9495" max="9729" width="9.140625" style="44"/>
    <col min="9730" max="9730" width="9.85546875" style="44" bestFit="1" customWidth="1"/>
    <col min="9731" max="9731" width="19.140625" style="44" customWidth="1"/>
    <col min="9732" max="9732" width="20.5703125" style="44" customWidth="1"/>
    <col min="9733" max="9736" width="11.140625" style="44" customWidth="1"/>
    <col min="9737" max="9737" width="14.42578125" style="44" customWidth="1"/>
    <col min="9738" max="9738" width="14.140625" style="44" customWidth="1"/>
    <col min="9739" max="9739" width="8.140625" style="44" customWidth="1"/>
    <col min="9740" max="9740" width="8.5703125" style="44" customWidth="1"/>
    <col min="9741" max="9741" width="10" style="44" customWidth="1"/>
    <col min="9742" max="9744" width="9.140625" style="44"/>
    <col min="9745" max="9745" width="7.85546875" style="44" customWidth="1"/>
    <col min="9746" max="9747" width="9.140625" style="44"/>
    <col min="9748" max="9748" width="13.140625" style="44" customWidth="1"/>
    <col min="9749" max="9749" width="29.42578125" style="44" customWidth="1"/>
    <col min="9750" max="9750" width="22.85546875" style="44" customWidth="1"/>
    <col min="9751" max="9985" width="9.140625" style="44"/>
    <col min="9986" max="9986" width="9.85546875" style="44" bestFit="1" customWidth="1"/>
    <col min="9987" max="9987" width="19.140625" style="44" customWidth="1"/>
    <col min="9988" max="9988" width="20.5703125" style="44" customWidth="1"/>
    <col min="9989" max="9992" width="11.140625" style="44" customWidth="1"/>
    <col min="9993" max="9993" width="14.42578125" style="44" customWidth="1"/>
    <col min="9994" max="9994" width="14.140625" style="44" customWidth="1"/>
    <col min="9995" max="9995" width="8.140625" style="44" customWidth="1"/>
    <col min="9996" max="9996" width="8.5703125" style="44" customWidth="1"/>
    <col min="9997" max="9997" width="10" style="44" customWidth="1"/>
    <col min="9998" max="10000" width="9.140625" style="44"/>
    <col min="10001" max="10001" width="7.85546875" style="44" customWidth="1"/>
    <col min="10002" max="10003" width="9.140625" style="44"/>
    <col min="10004" max="10004" width="13.140625" style="44" customWidth="1"/>
    <col min="10005" max="10005" width="29.42578125" style="44" customWidth="1"/>
    <col min="10006" max="10006" width="22.85546875" style="44" customWidth="1"/>
    <col min="10007" max="10241" width="9.140625" style="44"/>
    <col min="10242" max="10242" width="9.85546875" style="44" bestFit="1" customWidth="1"/>
    <col min="10243" max="10243" width="19.140625" style="44" customWidth="1"/>
    <col min="10244" max="10244" width="20.5703125" style="44" customWidth="1"/>
    <col min="10245" max="10248" width="11.140625" style="44" customWidth="1"/>
    <col min="10249" max="10249" width="14.42578125" style="44" customWidth="1"/>
    <col min="10250" max="10250" width="14.140625" style="44" customWidth="1"/>
    <col min="10251" max="10251" width="8.140625" style="44" customWidth="1"/>
    <col min="10252" max="10252" width="8.5703125" style="44" customWidth="1"/>
    <col min="10253" max="10253" width="10" style="44" customWidth="1"/>
    <col min="10254" max="10256" width="9.140625" style="44"/>
    <col min="10257" max="10257" width="7.85546875" style="44" customWidth="1"/>
    <col min="10258" max="10259" width="9.140625" style="44"/>
    <col min="10260" max="10260" width="13.140625" style="44" customWidth="1"/>
    <col min="10261" max="10261" width="29.42578125" style="44" customWidth="1"/>
    <col min="10262" max="10262" width="22.85546875" style="44" customWidth="1"/>
    <col min="10263" max="10497" width="9.140625" style="44"/>
    <col min="10498" max="10498" width="9.85546875" style="44" bestFit="1" customWidth="1"/>
    <col min="10499" max="10499" width="19.140625" style="44" customWidth="1"/>
    <col min="10500" max="10500" width="20.5703125" style="44" customWidth="1"/>
    <col min="10501" max="10504" width="11.140625" style="44" customWidth="1"/>
    <col min="10505" max="10505" width="14.42578125" style="44" customWidth="1"/>
    <col min="10506" max="10506" width="14.140625" style="44" customWidth="1"/>
    <col min="10507" max="10507" width="8.140625" style="44" customWidth="1"/>
    <col min="10508" max="10508" width="8.5703125" style="44" customWidth="1"/>
    <col min="10509" max="10509" width="10" style="44" customWidth="1"/>
    <col min="10510" max="10512" width="9.140625" style="44"/>
    <col min="10513" max="10513" width="7.85546875" style="44" customWidth="1"/>
    <col min="10514" max="10515" width="9.140625" style="44"/>
    <col min="10516" max="10516" width="13.140625" style="44" customWidth="1"/>
    <col min="10517" max="10517" width="29.42578125" style="44" customWidth="1"/>
    <col min="10518" max="10518" width="22.85546875" style="44" customWidth="1"/>
    <col min="10519" max="10753" width="9.140625" style="44"/>
    <col min="10754" max="10754" width="9.85546875" style="44" bestFit="1" customWidth="1"/>
    <col min="10755" max="10755" width="19.140625" style="44" customWidth="1"/>
    <col min="10756" max="10756" width="20.5703125" style="44" customWidth="1"/>
    <col min="10757" max="10760" width="11.140625" style="44" customWidth="1"/>
    <col min="10761" max="10761" width="14.42578125" style="44" customWidth="1"/>
    <col min="10762" max="10762" width="14.140625" style="44" customWidth="1"/>
    <col min="10763" max="10763" width="8.140625" style="44" customWidth="1"/>
    <col min="10764" max="10764" width="8.5703125" style="44" customWidth="1"/>
    <col min="10765" max="10765" width="10" style="44" customWidth="1"/>
    <col min="10766" max="10768" width="9.140625" style="44"/>
    <col min="10769" max="10769" width="7.85546875" style="44" customWidth="1"/>
    <col min="10770" max="10771" width="9.140625" style="44"/>
    <col min="10772" max="10772" width="13.140625" style="44" customWidth="1"/>
    <col min="10773" max="10773" width="29.42578125" style="44" customWidth="1"/>
    <col min="10774" max="10774" width="22.85546875" style="44" customWidth="1"/>
    <col min="10775" max="11009" width="9.140625" style="44"/>
    <col min="11010" max="11010" width="9.85546875" style="44" bestFit="1" customWidth="1"/>
    <col min="11011" max="11011" width="19.140625" style="44" customWidth="1"/>
    <col min="11012" max="11012" width="20.5703125" style="44" customWidth="1"/>
    <col min="11013" max="11016" width="11.140625" style="44" customWidth="1"/>
    <col min="11017" max="11017" width="14.42578125" style="44" customWidth="1"/>
    <col min="11018" max="11018" width="14.140625" style="44" customWidth="1"/>
    <col min="11019" max="11019" width="8.140625" style="44" customWidth="1"/>
    <col min="11020" max="11020" width="8.5703125" style="44" customWidth="1"/>
    <col min="11021" max="11021" width="10" style="44" customWidth="1"/>
    <col min="11022" max="11024" width="9.140625" style="44"/>
    <col min="11025" max="11025" width="7.85546875" style="44" customWidth="1"/>
    <col min="11026" max="11027" width="9.140625" style="44"/>
    <col min="11028" max="11028" width="13.140625" style="44" customWidth="1"/>
    <col min="11029" max="11029" width="29.42578125" style="44" customWidth="1"/>
    <col min="11030" max="11030" width="22.85546875" style="44" customWidth="1"/>
    <col min="11031" max="11265" width="9.140625" style="44"/>
    <col min="11266" max="11266" width="9.85546875" style="44" bestFit="1" customWidth="1"/>
    <col min="11267" max="11267" width="19.140625" style="44" customWidth="1"/>
    <col min="11268" max="11268" width="20.5703125" style="44" customWidth="1"/>
    <col min="11269" max="11272" width="11.140625" style="44" customWidth="1"/>
    <col min="11273" max="11273" width="14.42578125" style="44" customWidth="1"/>
    <col min="11274" max="11274" width="14.140625" style="44" customWidth="1"/>
    <col min="11275" max="11275" width="8.140625" style="44" customWidth="1"/>
    <col min="11276" max="11276" width="8.5703125" style="44" customWidth="1"/>
    <col min="11277" max="11277" width="10" style="44" customWidth="1"/>
    <col min="11278" max="11280" width="9.140625" style="44"/>
    <col min="11281" max="11281" width="7.85546875" style="44" customWidth="1"/>
    <col min="11282" max="11283" width="9.140625" style="44"/>
    <col min="11284" max="11284" width="13.140625" style="44" customWidth="1"/>
    <col min="11285" max="11285" width="29.42578125" style="44" customWidth="1"/>
    <col min="11286" max="11286" width="22.85546875" style="44" customWidth="1"/>
    <col min="11287" max="11521" width="9.140625" style="44"/>
    <col min="11522" max="11522" width="9.85546875" style="44" bestFit="1" customWidth="1"/>
    <col min="11523" max="11523" width="19.140625" style="44" customWidth="1"/>
    <col min="11524" max="11524" width="20.5703125" style="44" customWidth="1"/>
    <col min="11525" max="11528" width="11.140625" style="44" customWidth="1"/>
    <col min="11529" max="11529" width="14.42578125" style="44" customWidth="1"/>
    <col min="11530" max="11530" width="14.140625" style="44" customWidth="1"/>
    <col min="11531" max="11531" width="8.140625" style="44" customWidth="1"/>
    <col min="11532" max="11532" width="8.5703125" style="44" customWidth="1"/>
    <col min="11533" max="11533" width="10" style="44" customWidth="1"/>
    <col min="11534" max="11536" width="9.140625" style="44"/>
    <col min="11537" max="11537" width="7.85546875" style="44" customWidth="1"/>
    <col min="11538" max="11539" width="9.140625" style="44"/>
    <col min="11540" max="11540" width="13.140625" style="44" customWidth="1"/>
    <col min="11541" max="11541" width="29.42578125" style="44" customWidth="1"/>
    <col min="11542" max="11542" width="22.85546875" style="44" customWidth="1"/>
    <col min="11543" max="11777" width="9.140625" style="44"/>
    <col min="11778" max="11778" width="9.85546875" style="44" bestFit="1" customWidth="1"/>
    <col min="11779" max="11779" width="19.140625" style="44" customWidth="1"/>
    <col min="11780" max="11780" width="20.5703125" style="44" customWidth="1"/>
    <col min="11781" max="11784" width="11.140625" style="44" customWidth="1"/>
    <col min="11785" max="11785" width="14.42578125" style="44" customWidth="1"/>
    <col min="11786" max="11786" width="14.140625" style="44" customWidth="1"/>
    <col min="11787" max="11787" width="8.140625" style="44" customWidth="1"/>
    <col min="11788" max="11788" width="8.5703125" style="44" customWidth="1"/>
    <col min="11789" max="11789" width="10" style="44" customWidth="1"/>
    <col min="11790" max="11792" width="9.140625" style="44"/>
    <col min="11793" max="11793" width="7.85546875" style="44" customWidth="1"/>
    <col min="11794" max="11795" width="9.140625" style="44"/>
    <col min="11796" max="11796" width="13.140625" style="44" customWidth="1"/>
    <col min="11797" max="11797" width="29.42578125" style="44" customWidth="1"/>
    <col min="11798" max="11798" width="22.85546875" style="44" customWidth="1"/>
    <col min="11799" max="12033" width="9.140625" style="44"/>
    <col min="12034" max="12034" width="9.85546875" style="44" bestFit="1" customWidth="1"/>
    <col min="12035" max="12035" width="19.140625" style="44" customWidth="1"/>
    <col min="12036" max="12036" width="20.5703125" style="44" customWidth="1"/>
    <col min="12037" max="12040" width="11.140625" style="44" customWidth="1"/>
    <col min="12041" max="12041" width="14.42578125" style="44" customWidth="1"/>
    <col min="12042" max="12042" width="14.140625" style="44" customWidth="1"/>
    <col min="12043" max="12043" width="8.140625" style="44" customWidth="1"/>
    <col min="12044" max="12044" width="8.5703125" style="44" customWidth="1"/>
    <col min="12045" max="12045" width="10" style="44" customWidth="1"/>
    <col min="12046" max="12048" width="9.140625" style="44"/>
    <col min="12049" max="12049" width="7.85546875" style="44" customWidth="1"/>
    <col min="12050" max="12051" width="9.140625" style="44"/>
    <col min="12052" max="12052" width="13.140625" style="44" customWidth="1"/>
    <col min="12053" max="12053" width="29.42578125" style="44" customWidth="1"/>
    <col min="12054" max="12054" width="22.85546875" style="44" customWidth="1"/>
    <col min="12055" max="12289" width="9.140625" style="44"/>
    <col min="12290" max="12290" width="9.85546875" style="44" bestFit="1" customWidth="1"/>
    <col min="12291" max="12291" width="19.140625" style="44" customWidth="1"/>
    <col min="12292" max="12292" width="20.5703125" style="44" customWidth="1"/>
    <col min="12293" max="12296" width="11.140625" style="44" customWidth="1"/>
    <col min="12297" max="12297" width="14.42578125" style="44" customWidth="1"/>
    <col min="12298" max="12298" width="14.140625" style="44" customWidth="1"/>
    <col min="12299" max="12299" width="8.140625" style="44" customWidth="1"/>
    <col min="12300" max="12300" width="8.5703125" style="44" customWidth="1"/>
    <col min="12301" max="12301" width="10" style="44" customWidth="1"/>
    <col min="12302" max="12304" width="9.140625" style="44"/>
    <col min="12305" max="12305" width="7.85546875" style="44" customWidth="1"/>
    <col min="12306" max="12307" width="9.140625" style="44"/>
    <col min="12308" max="12308" width="13.140625" style="44" customWidth="1"/>
    <col min="12309" max="12309" width="29.42578125" style="44" customWidth="1"/>
    <col min="12310" max="12310" width="22.85546875" style="44" customWidth="1"/>
    <col min="12311" max="12545" width="9.140625" style="44"/>
    <col min="12546" max="12546" width="9.85546875" style="44" bestFit="1" customWidth="1"/>
    <col min="12547" max="12547" width="19.140625" style="44" customWidth="1"/>
    <col min="12548" max="12548" width="20.5703125" style="44" customWidth="1"/>
    <col min="12549" max="12552" width="11.140625" style="44" customWidth="1"/>
    <col min="12553" max="12553" width="14.42578125" style="44" customWidth="1"/>
    <col min="12554" max="12554" width="14.140625" style="44" customWidth="1"/>
    <col min="12555" max="12555" width="8.140625" style="44" customWidth="1"/>
    <col min="12556" max="12556" width="8.5703125" style="44" customWidth="1"/>
    <col min="12557" max="12557" width="10" style="44" customWidth="1"/>
    <col min="12558" max="12560" width="9.140625" style="44"/>
    <col min="12561" max="12561" width="7.85546875" style="44" customWidth="1"/>
    <col min="12562" max="12563" width="9.140625" style="44"/>
    <col min="12564" max="12564" width="13.140625" style="44" customWidth="1"/>
    <col min="12565" max="12565" width="29.42578125" style="44" customWidth="1"/>
    <col min="12566" max="12566" width="22.85546875" style="44" customWidth="1"/>
    <col min="12567" max="12801" width="9.140625" style="44"/>
    <col min="12802" max="12802" width="9.85546875" style="44" bestFit="1" customWidth="1"/>
    <col min="12803" max="12803" width="19.140625" style="44" customWidth="1"/>
    <col min="12804" max="12804" width="20.5703125" style="44" customWidth="1"/>
    <col min="12805" max="12808" width="11.140625" style="44" customWidth="1"/>
    <col min="12809" max="12809" width="14.42578125" style="44" customWidth="1"/>
    <col min="12810" max="12810" width="14.140625" style="44" customWidth="1"/>
    <col min="12811" max="12811" width="8.140625" style="44" customWidth="1"/>
    <col min="12812" max="12812" width="8.5703125" style="44" customWidth="1"/>
    <col min="12813" max="12813" width="10" style="44" customWidth="1"/>
    <col min="12814" max="12816" width="9.140625" style="44"/>
    <col min="12817" max="12817" width="7.85546875" style="44" customWidth="1"/>
    <col min="12818" max="12819" width="9.140625" style="44"/>
    <col min="12820" max="12820" width="13.140625" style="44" customWidth="1"/>
    <col min="12821" max="12821" width="29.42578125" style="44" customWidth="1"/>
    <col min="12822" max="12822" width="22.85546875" style="44" customWidth="1"/>
    <col min="12823" max="13057" width="9.140625" style="44"/>
    <col min="13058" max="13058" width="9.85546875" style="44" bestFit="1" customWidth="1"/>
    <col min="13059" max="13059" width="19.140625" style="44" customWidth="1"/>
    <col min="13060" max="13060" width="20.5703125" style="44" customWidth="1"/>
    <col min="13061" max="13064" width="11.140625" style="44" customWidth="1"/>
    <col min="13065" max="13065" width="14.42578125" style="44" customWidth="1"/>
    <col min="13066" max="13066" width="14.140625" style="44" customWidth="1"/>
    <col min="13067" max="13067" width="8.140625" style="44" customWidth="1"/>
    <col min="13068" max="13068" width="8.5703125" style="44" customWidth="1"/>
    <col min="13069" max="13069" width="10" style="44" customWidth="1"/>
    <col min="13070" max="13072" width="9.140625" style="44"/>
    <col min="13073" max="13073" width="7.85546875" style="44" customWidth="1"/>
    <col min="13074" max="13075" width="9.140625" style="44"/>
    <col min="13076" max="13076" width="13.140625" style="44" customWidth="1"/>
    <col min="13077" max="13077" width="29.42578125" style="44" customWidth="1"/>
    <col min="13078" max="13078" width="22.85546875" style="44" customWidth="1"/>
    <col min="13079" max="13313" width="9.140625" style="44"/>
    <col min="13314" max="13314" width="9.85546875" style="44" bestFit="1" customWidth="1"/>
    <col min="13315" max="13315" width="19.140625" style="44" customWidth="1"/>
    <col min="13316" max="13316" width="20.5703125" style="44" customWidth="1"/>
    <col min="13317" max="13320" width="11.140625" style="44" customWidth="1"/>
    <col min="13321" max="13321" width="14.42578125" style="44" customWidth="1"/>
    <col min="13322" max="13322" width="14.140625" style="44" customWidth="1"/>
    <col min="13323" max="13323" width="8.140625" style="44" customWidth="1"/>
    <col min="13324" max="13324" width="8.5703125" style="44" customWidth="1"/>
    <col min="13325" max="13325" width="10" style="44" customWidth="1"/>
    <col min="13326" max="13328" width="9.140625" style="44"/>
    <col min="13329" max="13329" width="7.85546875" style="44" customWidth="1"/>
    <col min="13330" max="13331" width="9.140625" style="44"/>
    <col min="13332" max="13332" width="13.140625" style="44" customWidth="1"/>
    <col min="13333" max="13333" width="29.42578125" style="44" customWidth="1"/>
    <col min="13334" max="13334" width="22.85546875" style="44" customWidth="1"/>
    <col min="13335" max="13569" width="9.140625" style="44"/>
    <col min="13570" max="13570" width="9.85546875" style="44" bestFit="1" customWidth="1"/>
    <col min="13571" max="13571" width="19.140625" style="44" customWidth="1"/>
    <col min="13572" max="13572" width="20.5703125" style="44" customWidth="1"/>
    <col min="13573" max="13576" width="11.140625" style="44" customWidth="1"/>
    <col min="13577" max="13577" width="14.42578125" style="44" customWidth="1"/>
    <col min="13578" max="13578" width="14.140625" style="44" customWidth="1"/>
    <col min="13579" max="13579" width="8.140625" style="44" customWidth="1"/>
    <col min="13580" max="13580" width="8.5703125" style="44" customWidth="1"/>
    <col min="13581" max="13581" width="10" style="44" customWidth="1"/>
    <col min="13582" max="13584" width="9.140625" style="44"/>
    <col min="13585" max="13585" width="7.85546875" style="44" customWidth="1"/>
    <col min="13586" max="13587" width="9.140625" style="44"/>
    <col min="13588" max="13588" width="13.140625" style="44" customWidth="1"/>
    <col min="13589" max="13589" width="29.42578125" style="44" customWidth="1"/>
    <col min="13590" max="13590" width="22.85546875" style="44" customWidth="1"/>
    <col min="13591" max="13825" width="9.140625" style="44"/>
    <col min="13826" max="13826" width="9.85546875" style="44" bestFit="1" customWidth="1"/>
    <col min="13827" max="13827" width="19.140625" style="44" customWidth="1"/>
    <col min="13828" max="13828" width="20.5703125" style="44" customWidth="1"/>
    <col min="13829" max="13832" width="11.140625" style="44" customWidth="1"/>
    <col min="13833" max="13833" width="14.42578125" style="44" customWidth="1"/>
    <col min="13834" max="13834" width="14.140625" style="44" customWidth="1"/>
    <col min="13835" max="13835" width="8.140625" style="44" customWidth="1"/>
    <col min="13836" max="13836" width="8.5703125" style="44" customWidth="1"/>
    <col min="13837" max="13837" width="10" style="44" customWidth="1"/>
    <col min="13838" max="13840" width="9.140625" style="44"/>
    <col min="13841" max="13841" width="7.85546875" style="44" customWidth="1"/>
    <col min="13842" max="13843" width="9.140625" style="44"/>
    <col min="13844" max="13844" width="13.140625" style="44" customWidth="1"/>
    <col min="13845" max="13845" width="29.42578125" style="44" customWidth="1"/>
    <col min="13846" max="13846" width="22.85546875" style="44" customWidth="1"/>
    <col min="13847" max="14081" width="9.140625" style="44"/>
    <col min="14082" max="14082" width="9.85546875" style="44" bestFit="1" customWidth="1"/>
    <col min="14083" max="14083" width="19.140625" style="44" customWidth="1"/>
    <col min="14084" max="14084" width="20.5703125" style="44" customWidth="1"/>
    <col min="14085" max="14088" width="11.140625" style="44" customWidth="1"/>
    <col min="14089" max="14089" width="14.42578125" style="44" customWidth="1"/>
    <col min="14090" max="14090" width="14.140625" style="44" customWidth="1"/>
    <col min="14091" max="14091" width="8.140625" style="44" customWidth="1"/>
    <col min="14092" max="14092" width="8.5703125" style="44" customWidth="1"/>
    <col min="14093" max="14093" width="10" style="44" customWidth="1"/>
    <col min="14094" max="14096" width="9.140625" style="44"/>
    <col min="14097" max="14097" width="7.85546875" style="44" customWidth="1"/>
    <col min="14098" max="14099" width="9.140625" style="44"/>
    <col min="14100" max="14100" width="13.140625" style="44" customWidth="1"/>
    <col min="14101" max="14101" width="29.42578125" style="44" customWidth="1"/>
    <col min="14102" max="14102" width="22.85546875" style="44" customWidth="1"/>
    <col min="14103" max="14337" width="9.140625" style="44"/>
    <col min="14338" max="14338" width="9.85546875" style="44" bestFit="1" customWidth="1"/>
    <col min="14339" max="14339" width="19.140625" style="44" customWidth="1"/>
    <col min="14340" max="14340" width="20.5703125" style="44" customWidth="1"/>
    <col min="14341" max="14344" width="11.140625" style="44" customWidth="1"/>
    <col min="14345" max="14345" width="14.42578125" style="44" customWidth="1"/>
    <col min="14346" max="14346" width="14.140625" style="44" customWidth="1"/>
    <col min="14347" max="14347" width="8.140625" style="44" customWidth="1"/>
    <col min="14348" max="14348" width="8.5703125" style="44" customWidth="1"/>
    <col min="14349" max="14349" width="10" style="44" customWidth="1"/>
    <col min="14350" max="14352" width="9.140625" style="44"/>
    <col min="14353" max="14353" width="7.85546875" style="44" customWidth="1"/>
    <col min="14354" max="14355" width="9.140625" style="44"/>
    <col min="14356" max="14356" width="13.140625" style="44" customWidth="1"/>
    <col min="14357" max="14357" width="29.42578125" style="44" customWidth="1"/>
    <col min="14358" max="14358" width="22.85546875" style="44" customWidth="1"/>
    <col min="14359" max="14593" width="9.140625" style="44"/>
    <col min="14594" max="14594" width="9.85546875" style="44" bestFit="1" customWidth="1"/>
    <col min="14595" max="14595" width="19.140625" style="44" customWidth="1"/>
    <col min="14596" max="14596" width="20.5703125" style="44" customWidth="1"/>
    <col min="14597" max="14600" width="11.140625" style="44" customWidth="1"/>
    <col min="14601" max="14601" width="14.42578125" style="44" customWidth="1"/>
    <col min="14602" max="14602" width="14.140625" style="44" customWidth="1"/>
    <col min="14603" max="14603" width="8.140625" style="44" customWidth="1"/>
    <col min="14604" max="14604" width="8.5703125" style="44" customWidth="1"/>
    <col min="14605" max="14605" width="10" style="44" customWidth="1"/>
    <col min="14606" max="14608" width="9.140625" style="44"/>
    <col min="14609" max="14609" width="7.85546875" style="44" customWidth="1"/>
    <col min="14610" max="14611" width="9.140625" style="44"/>
    <col min="14612" max="14612" width="13.140625" style="44" customWidth="1"/>
    <col min="14613" max="14613" width="29.42578125" style="44" customWidth="1"/>
    <col min="14614" max="14614" width="22.85546875" style="44" customWidth="1"/>
    <col min="14615" max="14849" width="9.140625" style="44"/>
    <col min="14850" max="14850" width="9.85546875" style="44" bestFit="1" customWidth="1"/>
    <col min="14851" max="14851" width="19.140625" style="44" customWidth="1"/>
    <col min="14852" max="14852" width="20.5703125" style="44" customWidth="1"/>
    <col min="14853" max="14856" width="11.140625" style="44" customWidth="1"/>
    <col min="14857" max="14857" width="14.42578125" style="44" customWidth="1"/>
    <col min="14858" max="14858" width="14.140625" style="44" customWidth="1"/>
    <col min="14859" max="14859" width="8.140625" style="44" customWidth="1"/>
    <col min="14860" max="14860" width="8.5703125" style="44" customWidth="1"/>
    <col min="14861" max="14861" width="10" style="44" customWidth="1"/>
    <col min="14862" max="14864" width="9.140625" style="44"/>
    <col min="14865" max="14865" width="7.85546875" style="44" customWidth="1"/>
    <col min="14866" max="14867" width="9.140625" style="44"/>
    <col min="14868" max="14868" width="13.140625" style="44" customWidth="1"/>
    <col min="14869" max="14869" width="29.42578125" style="44" customWidth="1"/>
    <col min="14870" max="14870" width="22.85546875" style="44" customWidth="1"/>
    <col min="14871" max="15105" width="9.140625" style="44"/>
    <col min="15106" max="15106" width="9.85546875" style="44" bestFit="1" customWidth="1"/>
    <col min="15107" max="15107" width="19.140625" style="44" customWidth="1"/>
    <col min="15108" max="15108" width="20.5703125" style="44" customWidth="1"/>
    <col min="15109" max="15112" width="11.140625" style="44" customWidth="1"/>
    <col min="15113" max="15113" width="14.42578125" style="44" customWidth="1"/>
    <col min="15114" max="15114" width="14.140625" style="44" customWidth="1"/>
    <col min="15115" max="15115" width="8.140625" style="44" customWidth="1"/>
    <col min="15116" max="15116" width="8.5703125" style="44" customWidth="1"/>
    <col min="15117" max="15117" width="10" style="44" customWidth="1"/>
    <col min="15118" max="15120" width="9.140625" style="44"/>
    <col min="15121" max="15121" width="7.85546875" style="44" customWidth="1"/>
    <col min="15122" max="15123" width="9.140625" style="44"/>
    <col min="15124" max="15124" width="13.140625" style="44" customWidth="1"/>
    <col min="15125" max="15125" width="29.42578125" style="44" customWidth="1"/>
    <col min="15126" max="15126" width="22.85546875" style="44" customWidth="1"/>
    <col min="15127" max="15361" width="9.140625" style="44"/>
    <col min="15362" max="15362" width="9.85546875" style="44" bestFit="1" customWidth="1"/>
    <col min="15363" max="15363" width="19.140625" style="44" customWidth="1"/>
    <col min="15364" max="15364" width="20.5703125" style="44" customWidth="1"/>
    <col min="15365" max="15368" width="11.140625" style="44" customWidth="1"/>
    <col min="15369" max="15369" width="14.42578125" style="44" customWidth="1"/>
    <col min="15370" max="15370" width="14.140625" style="44" customWidth="1"/>
    <col min="15371" max="15371" width="8.140625" style="44" customWidth="1"/>
    <col min="15372" max="15372" width="8.5703125" style="44" customWidth="1"/>
    <col min="15373" max="15373" width="10" style="44" customWidth="1"/>
    <col min="15374" max="15376" width="9.140625" style="44"/>
    <col min="15377" max="15377" width="7.85546875" style="44" customWidth="1"/>
    <col min="15378" max="15379" width="9.140625" style="44"/>
    <col min="15380" max="15380" width="13.140625" style="44" customWidth="1"/>
    <col min="15381" max="15381" width="29.42578125" style="44" customWidth="1"/>
    <col min="15382" max="15382" width="22.85546875" style="44" customWidth="1"/>
    <col min="15383" max="15617" width="9.140625" style="44"/>
    <col min="15618" max="15618" width="9.85546875" style="44" bestFit="1" customWidth="1"/>
    <col min="15619" max="15619" width="19.140625" style="44" customWidth="1"/>
    <col min="15620" max="15620" width="20.5703125" style="44" customWidth="1"/>
    <col min="15621" max="15624" width="11.140625" style="44" customWidth="1"/>
    <col min="15625" max="15625" width="14.42578125" style="44" customWidth="1"/>
    <col min="15626" max="15626" width="14.140625" style="44" customWidth="1"/>
    <col min="15627" max="15627" width="8.140625" style="44" customWidth="1"/>
    <col min="15628" max="15628" width="8.5703125" style="44" customWidth="1"/>
    <col min="15629" max="15629" width="10" style="44" customWidth="1"/>
    <col min="15630" max="15632" width="9.140625" style="44"/>
    <col min="15633" max="15633" width="7.85546875" style="44" customWidth="1"/>
    <col min="15634" max="15635" width="9.140625" style="44"/>
    <col min="15636" max="15636" width="13.140625" style="44" customWidth="1"/>
    <col min="15637" max="15637" width="29.42578125" style="44" customWidth="1"/>
    <col min="15638" max="15638" width="22.85546875" style="44" customWidth="1"/>
    <col min="15639" max="15873" width="9.140625" style="44"/>
    <col min="15874" max="15874" width="9.85546875" style="44" bestFit="1" customWidth="1"/>
    <col min="15875" max="15875" width="19.140625" style="44" customWidth="1"/>
    <col min="15876" max="15876" width="20.5703125" style="44" customWidth="1"/>
    <col min="15877" max="15880" width="11.140625" style="44" customWidth="1"/>
    <col min="15881" max="15881" width="14.42578125" style="44" customWidth="1"/>
    <col min="15882" max="15882" width="14.140625" style="44" customWidth="1"/>
    <col min="15883" max="15883" width="8.140625" style="44" customWidth="1"/>
    <col min="15884" max="15884" width="8.5703125" style="44" customWidth="1"/>
    <col min="15885" max="15885" width="10" style="44" customWidth="1"/>
    <col min="15886" max="15888" width="9.140625" style="44"/>
    <col min="15889" max="15889" width="7.85546875" style="44" customWidth="1"/>
    <col min="15890" max="15891" width="9.140625" style="44"/>
    <col min="15892" max="15892" width="13.140625" style="44" customWidth="1"/>
    <col min="15893" max="15893" width="29.42578125" style="44" customWidth="1"/>
    <col min="15894" max="15894" width="22.85546875" style="44" customWidth="1"/>
    <col min="15895" max="16129" width="9.140625" style="44"/>
    <col min="16130" max="16130" width="9.85546875" style="44" bestFit="1" customWidth="1"/>
    <col min="16131" max="16131" width="19.140625" style="44" customWidth="1"/>
    <col min="16132" max="16132" width="20.5703125" style="44" customWidth="1"/>
    <col min="16133" max="16136" width="11.140625" style="44" customWidth="1"/>
    <col min="16137" max="16137" width="14.42578125" style="44" customWidth="1"/>
    <col min="16138" max="16138" width="14.140625" style="44" customWidth="1"/>
    <col min="16139" max="16139" width="8.140625" style="44" customWidth="1"/>
    <col min="16140" max="16140" width="8.5703125" style="44" customWidth="1"/>
    <col min="16141" max="16141" width="10" style="44" customWidth="1"/>
    <col min="16142" max="16144" width="9.140625" style="44"/>
    <col min="16145" max="16145" width="7.85546875" style="44" customWidth="1"/>
    <col min="16146" max="16147" width="9.140625" style="44"/>
    <col min="16148" max="16148" width="13.140625" style="44" customWidth="1"/>
    <col min="16149" max="16149" width="29.42578125" style="44" customWidth="1"/>
    <col min="16150" max="16150" width="22.85546875" style="44" customWidth="1"/>
    <col min="16151" max="16384" width="9.140625" style="44"/>
  </cols>
  <sheetData>
    <row r="1" spans="1:23" ht="27" customHeight="1" x14ac:dyDescent="0.25">
      <c r="A1" s="42"/>
      <c r="B1" s="42"/>
      <c r="C1" s="43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</row>
    <row r="2" spans="1:23" ht="28.5" customHeight="1" x14ac:dyDescent="0.25">
      <c r="A2" s="45"/>
      <c r="B2" s="45"/>
      <c r="C2" s="46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Q2" s="42"/>
      <c r="R2" s="42"/>
      <c r="S2" s="42"/>
      <c r="T2" s="42"/>
      <c r="U2" s="42" t="s">
        <v>44</v>
      </c>
      <c r="V2" s="45"/>
    </row>
    <row r="3" spans="1:23" ht="20.25" x14ac:dyDescent="0.25">
      <c r="A3" s="328" t="s">
        <v>45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</row>
    <row r="4" spans="1:23" ht="25.5" customHeight="1" x14ac:dyDescent="0.25">
      <c r="A4" s="329" t="s">
        <v>72</v>
      </c>
      <c r="B4" s="329"/>
      <c r="C4" s="329"/>
      <c r="D4" s="329"/>
      <c r="E4" s="329"/>
      <c r="F4" s="329"/>
      <c r="G4" s="329"/>
      <c r="H4" s="329"/>
      <c r="I4" s="329"/>
      <c r="J4" s="329"/>
      <c r="K4" s="329"/>
      <c r="L4" s="329"/>
      <c r="M4" s="329"/>
      <c r="N4" s="329"/>
      <c r="O4" s="329"/>
      <c r="P4" s="329"/>
      <c r="Q4" s="329"/>
      <c r="R4" s="329"/>
      <c r="S4" s="329"/>
      <c r="T4" s="329"/>
      <c r="U4" s="329"/>
      <c r="V4" s="329"/>
    </row>
    <row r="5" spans="1:23" ht="15.75" x14ac:dyDescent="0.25">
      <c r="A5" s="330" t="s">
        <v>46</v>
      </c>
      <c r="B5" s="330"/>
      <c r="C5" s="330"/>
      <c r="D5" s="330"/>
      <c r="E5" s="330"/>
      <c r="F5" s="330"/>
      <c r="G5" s="330"/>
      <c r="H5" s="330"/>
      <c r="I5" s="18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</row>
    <row r="6" spans="1:23" ht="6.75" customHeight="1" thickBot="1" x14ac:dyDescent="0.3">
      <c r="A6" s="21"/>
      <c r="B6" s="21"/>
      <c r="C6" s="18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</row>
    <row r="7" spans="1:23" ht="29.25" customHeight="1" thickTop="1" x14ac:dyDescent="0.25">
      <c r="A7" s="314" t="s">
        <v>6</v>
      </c>
      <c r="B7" s="314" t="s">
        <v>71</v>
      </c>
      <c r="C7" s="314" t="s">
        <v>47</v>
      </c>
      <c r="D7" s="331" t="s">
        <v>48</v>
      </c>
      <c r="E7" s="334" t="s">
        <v>49</v>
      </c>
      <c r="F7" s="335"/>
      <c r="G7" s="334" t="s">
        <v>50</v>
      </c>
      <c r="H7" s="335"/>
      <c r="I7" s="331" t="s">
        <v>4</v>
      </c>
      <c r="J7" s="322" t="s">
        <v>51</v>
      </c>
      <c r="K7" s="323"/>
      <c r="L7" s="323"/>
      <c r="M7" s="323"/>
      <c r="N7" s="323"/>
      <c r="O7" s="323"/>
      <c r="P7" s="324"/>
      <c r="Q7" s="336" t="s">
        <v>52</v>
      </c>
      <c r="R7" s="337"/>
      <c r="S7" s="336" t="s">
        <v>53</v>
      </c>
      <c r="T7" s="337"/>
      <c r="U7" s="331" t="s">
        <v>54</v>
      </c>
      <c r="V7" s="338" t="s">
        <v>55</v>
      </c>
    </row>
    <row r="8" spans="1:23" ht="24.75" customHeight="1" x14ac:dyDescent="0.25">
      <c r="A8" s="315"/>
      <c r="B8" s="315"/>
      <c r="C8" s="315"/>
      <c r="D8" s="332"/>
      <c r="E8" s="325" t="s">
        <v>56</v>
      </c>
      <c r="F8" s="325" t="s">
        <v>57</v>
      </c>
      <c r="G8" s="325" t="s">
        <v>56</v>
      </c>
      <c r="H8" s="325" t="s">
        <v>57</v>
      </c>
      <c r="I8" s="332"/>
      <c r="J8" s="326" t="s">
        <v>58</v>
      </c>
      <c r="K8" s="318" t="s">
        <v>59</v>
      </c>
      <c r="L8" s="319"/>
      <c r="M8" s="318" t="s">
        <v>60</v>
      </c>
      <c r="N8" s="318"/>
      <c r="O8" s="318" t="s">
        <v>61</v>
      </c>
      <c r="P8" s="318"/>
      <c r="Q8" s="320" t="s">
        <v>62</v>
      </c>
      <c r="R8" s="320" t="s">
        <v>63</v>
      </c>
      <c r="S8" s="320" t="s">
        <v>62</v>
      </c>
      <c r="T8" s="320" t="s">
        <v>64</v>
      </c>
      <c r="U8" s="332"/>
      <c r="V8" s="339"/>
    </row>
    <row r="9" spans="1:23" ht="36.75" customHeight="1" x14ac:dyDescent="0.25">
      <c r="A9" s="316"/>
      <c r="B9" s="316"/>
      <c r="C9" s="316"/>
      <c r="D9" s="333"/>
      <c r="E9" s="316"/>
      <c r="F9" s="316"/>
      <c r="G9" s="316"/>
      <c r="H9" s="316"/>
      <c r="I9" s="333"/>
      <c r="J9" s="327"/>
      <c r="K9" s="22" t="s">
        <v>65</v>
      </c>
      <c r="L9" s="22" t="s">
        <v>66</v>
      </c>
      <c r="M9" s="22" t="s">
        <v>65</v>
      </c>
      <c r="N9" s="22" t="s">
        <v>66</v>
      </c>
      <c r="O9" s="22" t="s">
        <v>65</v>
      </c>
      <c r="P9" s="22" t="s">
        <v>66</v>
      </c>
      <c r="Q9" s="321"/>
      <c r="R9" s="321"/>
      <c r="S9" s="321"/>
      <c r="T9" s="321"/>
      <c r="U9" s="333"/>
      <c r="V9" s="339"/>
    </row>
    <row r="10" spans="1:23" ht="19.5" customHeight="1" x14ac:dyDescent="0.25">
      <c r="A10" s="23" t="str">
        <f t="shared" ref="A10:A51" si="0">+IF(WEEKDAY(D10,1)=1,"CN","T"&amp;WEEKDAY(D10,1))</f>
        <v>T5</v>
      </c>
      <c r="B10" s="41" t="s">
        <v>18</v>
      </c>
      <c r="C10" s="24" t="str">
        <f>IFERROR(VLOOKUP(B10,#REF!,2,0),"")</f>
        <v/>
      </c>
      <c r="D10" s="25">
        <v>45204</v>
      </c>
      <c r="E10" s="26" t="str">
        <f>IFERROR(INDEX(#REF!,MATCH('Phieu dang ky lam them gio'!W10,#REF!,0),1),"")</f>
        <v/>
      </c>
      <c r="F10" s="26" t="str">
        <f>IFERROR(INDEX(#REF!,MATCH(W10,#REF!,0),1),"")</f>
        <v/>
      </c>
      <c r="G10" s="51"/>
      <c r="H10" s="51"/>
      <c r="I10" s="25"/>
      <c r="J10" s="27">
        <f t="shared" ref="J10:J51" si="1">24-G10+H10</f>
        <v>24</v>
      </c>
      <c r="K10" s="28"/>
      <c r="L10" s="28"/>
      <c r="M10" s="28"/>
      <c r="N10" s="28"/>
      <c r="O10" s="28"/>
      <c r="P10" s="28"/>
      <c r="Q10" s="29">
        <f t="shared" ref="Q10:Q51" si="2">+IF(I10&lt;&gt;"Ca đêm",K10*1.5+L10*2.1+M10*2+N10*2.7+O10*3+P10*3.9,0)</f>
        <v>0</v>
      </c>
      <c r="R10" s="29">
        <f>+ROUND(Q10/9,5)</f>
        <v>0</v>
      </c>
      <c r="S10" s="29">
        <f t="shared" ref="S10:S49" si="3">+ROUND(IF(I10="Ca đêm",L10*30%+N10*160%,0),2)</f>
        <v>0</v>
      </c>
      <c r="T10" s="29">
        <f t="shared" ref="T10:T51" si="4">+ROUND(IF(I10="Ca đêm",J10/8,0),2)</f>
        <v>0</v>
      </c>
      <c r="U10" s="30"/>
      <c r="V10" s="31"/>
      <c r="W10" s="44" t="str">
        <f>B10&amp;D10</f>
        <v>BL207845204</v>
      </c>
    </row>
    <row r="11" spans="1:23" ht="19.5" customHeight="1" x14ac:dyDescent="0.25">
      <c r="A11" s="23" t="str">
        <f t="shared" si="0"/>
        <v>T7</v>
      </c>
      <c r="B11" s="41"/>
      <c r="C11" s="24" t="str">
        <f>IFERROR(VLOOKUP(B11,#REF!,2,0),"")</f>
        <v/>
      </c>
      <c r="D11" s="25"/>
      <c r="E11" s="26" t="str">
        <f>IFERROR(INDEX(#REF!,MATCH('Phieu dang ky lam them gio'!W11,#REF!,0),1),"")</f>
        <v/>
      </c>
      <c r="F11" s="26" t="str">
        <f>IFERROR(INDEX(#REF!,MATCH(W11,#REF!,0),1),"")</f>
        <v/>
      </c>
      <c r="G11" s="51"/>
      <c r="H11" s="51"/>
      <c r="I11" s="25"/>
      <c r="J11" s="27">
        <f t="shared" si="1"/>
        <v>24</v>
      </c>
      <c r="K11" s="28"/>
      <c r="L11" s="28"/>
      <c r="M11" s="28"/>
      <c r="N11" s="28"/>
      <c r="O11" s="28"/>
      <c r="P11" s="28"/>
      <c r="Q11" s="29">
        <f t="shared" si="2"/>
        <v>0</v>
      </c>
      <c r="R11" s="29">
        <f t="shared" ref="R11:R52" si="5">+ROUND(Q11/9,5)</f>
        <v>0</v>
      </c>
      <c r="S11" s="29">
        <f t="shared" si="3"/>
        <v>0</v>
      </c>
      <c r="T11" s="29">
        <f t="shared" si="4"/>
        <v>0</v>
      </c>
      <c r="U11" s="30"/>
      <c r="V11" s="31"/>
      <c r="W11" s="44" t="str">
        <f t="shared" ref="W11:W51" si="6">B11&amp;D11</f>
        <v/>
      </c>
    </row>
    <row r="12" spans="1:23" ht="19.5" customHeight="1" x14ac:dyDescent="0.25">
      <c r="A12" s="23" t="str">
        <f t="shared" si="0"/>
        <v>T7</v>
      </c>
      <c r="B12" s="41"/>
      <c r="C12" s="24" t="str">
        <f>IFERROR(VLOOKUP(B12,#REF!,2,0),"")</f>
        <v/>
      </c>
      <c r="D12" s="25"/>
      <c r="E12" s="26" t="str">
        <f>IFERROR(INDEX(#REF!,MATCH('Phieu dang ky lam them gio'!W12,#REF!,0),1),"")</f>
        <v/>
      </c>
      <c r="F12" s="26" t="str">
        <f>IFERROR(INDEX(#REF!,MATCH(W12,#REF!,0),1),"")</f>
        <v/>
      </c>
      <c r="G12" s="51"/>
      <c r="H12" s="51"/>
      <c r="I12" s="25"/>
      <c r="J12" s="27">
        <f t="shared" si="1"/>
        <v>24</v>
      </c>
      <c r="K12" s="28"/>
      <c r="L12" s="28"/>
      <c r="M12" s="28"/>
      <c r="N12" s="28"/>
      <c r="O12" s="28"/>
      <c r="P12" s="28"/>
      <c r="Q12" s="29">
        <f t="shared" si="2"/>
        <v>0</v>
      </c>
      <c r="R12" s="29">
        <f t="shared" si="5"/>
        <v>0</v>
      </c>
      <c r="S12" s="29">
        <f t="shared" si="3"/>
        <v>0</v>
      </c>
      <c r="T12" s="29">
        <f t="shared" si="4"/>
        <v>0</v>
      </c>
      <c r="U12" s="30"/>
      <c r="V12" s="31"/>
      <c r="W12" s="44" t="str">
        <f t="shared" si="6"/>
        <v/>
      </c>
    </row>
    <row r="13" spans="1:23" ht="19.5" customHeight="1" x14ac:dyDescent="0.25">
      <c r="A13" s="23" t="str">
        <f t="shared" si="0"/>
        <v>T7</v>
      </c>
      <c r="B13" s="41"/>
      <c r="C13" s="24" t="str">
        <f>IFERROR(VLOOKUP(B13,#REF!,2,0),"")</f>
        <v/>
      </c>
      <c r="D13" s="25"/>
      <c r="E13" s="26" t="str">
        <f>IFERROR(INDEX(#REF!,MATCH('Phieu dang ky lam them gio'!W13,#REF!,0),1),"")</f>
        <v/>
      </c>
      <c r="F13" s="26" t="str">
        <f>IFERROR(INDEX(#REF!,MATCH(W13,#REF!,0),1),"")</f>
        <v/>
      </c>
      <c r="G13" s="51"/>
      <c r="H13" s="51"/>
      <c r="I13" s="25"/>
      <c r="J13" s="27">
        <f t="shared" si="1"/>
        <v>24</v>
      </c>
      <c r="K13" s="28"/>
      <c r="L13" s="28"/>
      <c r="M13" s="28"/>
      <c r="N13" s="28"/>
      <c r="O13" s="28"/>
      <c r="P13" s="28"/>
      <c r="Q13" s="29">
        <f t="shared" si="2"/>
        <v>0</v>
      </c>
      <c r="R13" s="29">
        <f t="shared" si="5"/>
        <v>0</v>
      </c>
      <c r="S13" s="29">
        <f t="shared" si="3"/>
        <v>0</v>
      </c>
      <c r="T13" s="29">
        <f t="shared" si="4"/>
        <v>0</v>
      </c>
      <c r="U13" s="30"/>
      <c r="V13" s="31"/>
      <c r="W13" s="44" t="str">
        <f t="shared" si="6"/>
        <v/>
      </c>
    </row>
    <row r="14" spans="1:23" ht="19.5" customHeight="1" x14ac:dyDescent="0.25">
      <c r="A14" s="23" t="str">
        <f t="shared" ref="A14:A46" si="7">+IF(WEEKDAY(D14,1)=1,"CN","T"&amp;WEEKDAY(D14,1))</f>
        <v>T7</v>
      </c>
      <c r="B14" s="41"/>
      <c r="C14" s="24" t="str">
        <f>IFERROR(VLOOKUP(B14,#REF!,2,0),"")</f>
        <v/>
      </c>
      <c r="D14" s="25"/>
      <c r="E14" s="26" t="str">
        <f>IFERROR(INDEX(#REF!,MATCH('Phieu dang ky lam them gio'!W14,#REF!,0),1),"")</f>
        <v/>
      </c>
      <c r="F14" s="26" t="str">
        <f>IFERROR(INDEX(#REF!,MATCH(W14,#REF!,0),1),"")</f>
        <v/>
      </c>
      <c r="G14" s="51"/>
      <c r="H14" s="51"/>
      <c r="I14" s="25"/>
      <c r="J14" s="27">
        <f t="shared" ref="J14:J46" si="8">24-G14+H14</f>
        <v>24</v>
      </c>
      <c r="K14" s="28"/>
      <c r="L14" s="28"/>
      <c r="M14" s="28"/>
      <c r="N14" s="28"/>
      <c r="O14" s="28"/>
      <c r="P14" s="28"/>
      <c r="Q14" s="29">
        <f t="shared" ref="Q14:Q46" si="9">+IF(I14&lt;&gt;"Ca đêm",K14*1.5+L14*2.1+M14*2+N14*2.7+O14*3+P14*3.9,0)</f>
        <v>0</v>
      </c>
      <c r="R14" s="29">
        <f t="shared" si="5"/>
        <v>0</v>
      </c>
      <c r="S14" s="29">
        <f t="shared" ref="S14:S46" si="10">+ROUND(IF(I14="Ca đêm",L14*30%+N14*160%,0),2)</f>
        <v>0</v>
      </c>
      <c r="T14" s="29">
        <f t="shared" ref="T14:T46" si="11">+ROUND(IF(I14="Ca đêm",J14/8,0),2)</f>
        <v>0</v>
      </c>
      <c r="U14" s="30"/>
      <c r="V14" s="31"/>
      <c r="W14" s="44" t="str">
        <f t="shared" ref="W14:W46" si="12">B14&amp;D14</f>
        <v/>
      </c>
    </row>
    <row r="15" spans="1:23" ht="19.5" customHeight="1" x14ac:dyDescent="0.25">
      <c r="A15" s="23" t="str">
        <f t="shared" si="7"/>
        <v>T7</v>
      </c>
      <c r="B15" s="41"/>
      <c r="C15" s="24" t="str">
        <f>IFERROR(VLOOKUP(B15,#REF!,2,0),"")</f>
        <v/>
      </c>
      <c r="D15" s="25"/>
      <c r="E15" s="26" t="str">
        <f>IFERROR(INDEX(#REF!,MATCH('Phieu dang ky lam them gio'!W15,#REF!,0),1),"")</f>
        <v/>
      </c>
      <c r="F15" s="26" t="str">
        <f>IFERROR(INDEX(#REF!,MATCH(W15,#REF!,0),1),"")</f>
        <v/>
      </c>
      <c r="G15" s="51"/>
      <c r="H15" s="51"/>
      <c r="I15" s="25"/>
      <c r="J15" s="27">
        <f t="shared" si="8"/>
        <v>24</v>
      </c>
      <c r="K15" s="28"/>
      <c r="L15" s="28"/>
      <c r="M15" s="28"/>
      <c r="N15" s="28"/>
      <c r="O15" s="28"/>
      <c r="P15" s="28"/>
      <c r="Q15" s="29">
        <f t="shared" si="9"/>
        <v>0</v>
      </c>
      <c r="R15" s="29">
        <f t="shared" si="5"/>
        <v>0</v>
      </c>
      <c r="S15" s="29">
        <f t="shared" si="10"/>
        <v>0</v>
      </c>
      <c r="T15" s="29">
        <f t="shared" si="11"/>
        <v>0</v>
      </c>
      <c r="U15" s="30"/>
      <c r="V15" s="31"/>
      <c r="W15" s="44" t="str">
        <f t="shared" si="12"/>
        <v/>
      </c>
    </row>
    <row r="16" spans="1:23" ht="19.5" customHeight="1" x14ac:dyDescent="0.25">
      <c r="A16" s="23" t="str">
        <f t="shared" ref="A16:A33" si="13">+IF(WEEKDAY(D16,1)=1,"CN","T"&amp;WEEKDAY(D16,1))</f>
        <v>T7</v>
      </c>
      <c r="B16" s="41"/>
      <c r="C16" s="24" t="str">
        <f>IFERROR(VLOOKUP(B16,#REF!,2,0),"")</f>
        <v/>
      </c>
      <c r="D16" s="25"/>
      <c r="E16" s="26" t="str">
        <f>IFERROR(INDEX(#REF!,MATCH('Phieu dang ky lam them gio'!W16,#REF!,0),1),"")</f>
        <v/>
      </c>
      <c r="F16" s="26" t="str">
        <f>IFERROR(INDEX(#REF!,MATCH(W16,#REF!,0),1),"")</f>
        <v/>
      </c>
      <c r="G16" s="51"/>
      <c r="H16" s="51"/>
      <c r="I16" s="25"/>
      <c r="J16" s="27">
        <f t="shared" ref="J16:J33" si="14">24-G16+H16</f>
        <v>24</v>
      </c>
      <c r="K16" s="28"/>
      <c r="L16" s="28"/>
      <c r="M16" s="28"/>
      <c r="N16" s="28"/>
      <c r="O16" s="28"/>
      <c r="P16" s="28"/>
      <c r="Q16" s="29">
        <f t="shared" ref="Q16:Q33" si="15">+IF(I16&lt;&gt;"Ca đêm",K16*1.5+L16*2.1+M16*2+N16*2.7+O16*3+P16*3.9,0)</f>
        <v>0</v>
      </c>
      <c r="R16" s="29">
        <f t="shared" si="5"/>
        <v>0</v>
      </c>
      <c r="S16" s="29">
        <f t="shared" ref="S16:S33" si="16">+ROUND(IF(I16="Ca đêm",L16*30%+N16*160%,0),2)</f>
        <v>0</v>
      </c>
      <c r="T16" s="29">
        <f t="shared" ref="T16:T33" si="17">+ROUND(IF(I16="Ca đêm",J16/8,0),2)</f>
        <v>0</v>
      </c>
      <c r="U16" s="30"/>
      <c r="V16" s="31"/>
      <c r="W16" s="44" t="str">
        <f t="shared" ref="W16:W33" si="18">B16&amp;D16</f>
        <v/>
      </c>
    </row>
    <row r="17" spans="1:23" ht="19.5" customHeight="1" x14ac:dyDescent="0.25">
      <c r="A17" s="23" t="str">
        <f t="shared" si="13"/>
        <v>T7</v>
      </c>
      <c r="B17" s="41"/>
      <c r="C17" s="24" t="str">
        <f>IFERROR(VLOOKUP(B17,#REF!,2,0),"")</f>
        <v/>
      </c>
      <c r="D17" s="25"/>
      <c r="E17" s="26" t="str">
        <f>IFERROR(INDEX(#REF!,MATCH('Phieu dang ky lam them gio'!W17,#REF!,0),1),"")</f>
        <v/>
      </c>
      <c r="F17" s="26" t="str">
        <f>IFERROR(INDEX(#REF!,MATCH(W17,#REF!,0),1),"")</f>
        <v/>
      </c>
      <c r="G17" s="51"/>
      <c r="H17" s="51"/>
      <c r="I17" s="25"/>
      <c r="J17" s="27">
        <f t="shared" si="14"/>
        <v>24</v>
      </c>
      <c r="K17" s="28"/>
      <c r="L17" s="28"/>
      <c r="M17" s="28"/>
      <c r="N17" s="28"/>
      <c r="O17" s="28"/>
      <c r="P17" s="28"/>
      <c r="Q17" s="29">
        <f t="shared" si="15"/>
        <v>0</v>
      </c>
      <c r="R17" s="29">
        <f t="shared" si="5"/>
        <v>0</v>
      </c>
      <c r="S17" s="29">
        <f t="shared" si="16"/>
        <v>0</v>
      </c>
      <c r="T17" s="29">
        <f t="shared" si="17"/>
        <v>0</v>
      </c>
      <c r="U17" s="30"/>
      <c r="V17" s="31"/>
      <c r="W17" s="44" t="str">
        <f t="shared" si="18"/>
        <v/>
      </c>
    </row>
    <row r="18" spans="1:23" ht="19.5" customHeight="1" x14ac:dyDescent="0.25">
      <c r="A18" s="23" t="str">
        <f t="shared" si="13"/>
        <v>T7</v>
      </c>
      <c r="B18" s="41"/>
      <c r="C18" s="24" t="str">
        <f>IFERROR(VLOOKUP(B18,#REF!,2,0),"")</f>
        <v/>
      </c>
      <c r="D18" s="25"/>
      <c r="E18" s="26" t="str">
        <f>IFERROR(INDEX(#REF!,MATCH('Phieu dang ky lam them gio'!W18,#REF!,0),1),"")</f>
        <v/>
      </c>
      <c r="F18" s="26" t="str">
        <f>IFERROR(INDEX(#REF!,MATCH(W18,#REF!,0),1),"")</f>
        <v/>
      </c>
      <c r="G18" s="51"/>
      <c r="H18" s="51"/>
      <c r="I18" s="25"/>
      <c r="J18" s="27">
        <f t="shared" si="14"/>
        <v>24</v>
      </c>
      <c r="K18" s="28"/>
      <c r="L18" s="28"/>
      <c r="M18" s="28"/>
      <c r="N18" s="28"/>
      <c r="O18" s="28"/>
      <c r="P18" s="28"/>
      <c r="Q18" s="29">
        <f t="shared" si="15"/>
        <v>0</v>
      </c>
      <c r="R18" s="29">
        <f t="shared" si="5"/>
        <v>0</v>
      </c>
      <c r="S18" s="29">
        <f t="shared" si="16"/>
        <v>0</v>
      </c>
      <c r="T18" s="29">
        <f t="shared" si="17"/>
        <v>0</v>
      </c>
      <c r="U18" s="30"/>
      <c r="V18" s="31"/>
      <c r="W18" s="44" t="str">
        <f t="shared" si="18"/>
        <v/>
      </c>
    </row>
    <row r="19" spans="1:23" ht="19.5" customHeight="1" x14ac:dyDescent="0.25">
      <c r="A19" s="23" t="str">
        <f t="shared" si="13"/>
        <v>T7</v>
      </c>
      <c r="B19" s="41"/>
      <c r="C19" s="24" t="str">
        <f>IFERROR(VLOOKUP(B19,#REF!,2,0),"")</f>
        <v/>
      </c>
      <c r="D19" s="25"/>
      <c r="E19" s="26" t="str">
        <f>IFERROR(INDEX(#REF!,MATCH('Phieu dang ky lam them gio'!W19,#REF!,0),1),"")</f>
        <v/>
      </c>
      <c r="F19" s="26" t="str">
        <f>IFERROR(INDEX(#REF!,MATCH(W19,#REF!,0),1),"")</f>
        <v/>
      </c>
      <c r="G19" s="51"/>
      <c r="H19" s="51"/>
      <c r="I19" s="25"/>
      <c r="J19" s="27">
        <f t="shared" si="14"/>
        <v>24</v>
      </c>
      <c r="K19" s="28"/>
      <c r="L19" s="28"/>
      <c r="M19" s="28"/>
      <c r="N19" s="28"/>
      <c r="O19" s="28"/>
      <c r="P19" s="28"/>
      <c r="Q19" s="29">
        <f t="shared" si="15"/>
        <v>0</v>
      </c>
      <c r="R19" s="29">
        <f t="shared" si="5"/>
        <v>0</v>
      </c>
      <c r="S19" s="29">
        <f t="shared" si="16"/>
        <v>0</v>
      </c>
      <c r="T19" s="29">
        <f t="shared" si="17"/>
        <v>0</v>
      </c>
      <c r="U19" s="30"/>
      <c r="V19" s="31"/>
      <c r="W19" s="44" t="str">
        <f t="shared" si="18"/>
        <v/>
      </c>
    </row>
    <row r="20" spans="1:23" ht="19.5" customHeight="1" x14ac:dyDescent="0.25">
      <c r="A20" s="23" t="str">
        <f t="shared" si="13"/>
        <v>T7</v>
      </c>
      <c r="B20" s="41"/>
      <c r="C20" s="24" t="str">
        <f>IFERROR(VLOOKUP(B20,#REF!,2,0),"")</f>
        <v/>
      </c>
      <c r="D20" s="25"/>
      <c r="E20" s="26" t="str">
        <f>IFERROR(INDEX(#REF!,MATCH('Phieu dang ky lam them gio'!W20,#REF!,0),1),"")</f>
        <v/>
      </c>
      <c r="F20" s="26" t="str">
        <f>IFERROR(INDEX(#REF!,MATCH(W20,#REF!,0),1),"")</f>
        <v/>
      </c>
      <c r="G20" s="51"/>
      <c r="H20" s="51"/>
      <c r="I20" s="25"/>
      <c r="J20" s="27">
        <f t="shared" si="14"/>
        <v>24</v>
      </c>
      <c r="K20" s="28"/>
      <c r="L20" s="28"/>
      <c r="M20" s="28"/>
      <c r="N20" s="28"/>
      <c r="O20" s="28"/>
      <c r="P20" s="28"/>
      <c r="Q20" s="29">
        <f t="shared" si="15"/>
        <v>0</v>
      </c>
      <c r="R20" s="29">
        <f t="shared" si="5"/>
        <v>0</v>
      </c>
      <c r="S20" s="29">
        <f t="shared" si="16"/>
        <v>0</v>
      </c>
      <c r="T20" s="29">
        <f t="shared" si="17"/>
        <v>0</v>
      </c>
      <c r="U20" s="30"/>
      <c r="V20" s="31"/>
      <c r="W20" s="44" t="str">
        <f t="shared" si="18"/>
        <v/>
      </c>
    </row>
    <row r="21" spans="1:23" ht="19.5" customHeight="1" x14ac:dyDescent="0.25">
      <c r="A21" s="23" t="str">
        <f t="shared" si="13"/>
        <v>T7</v>
      </c>
      <c r="B21" s="41"/>
      <c r="C21" s="24" t="str">
        <f>IFERROR(VLOOKUP(B21,#REF!,2,0),"")</f>
        <v/>
      </c>
      <c r="D21" s="25"/>
      <c r="E21" s="26" t="str">
        <f>IFERROR(INDEX(#REF!,MATCH('Phieu dang ky lam them gio'!W21,#REF!,0),1),"")</f>
        <v/>
      </c>
      <c r="F21" s="26" t="str">
        <f>IFERROR(INDEX(#REF!,MATCH(W21,#REF!,0),1),"")</f>
        <v/>
      </c>
      <c r="G21" s="51"/>
      <c r="H21" s="51"/>
      <c r="I21" s="25"/>
      <c r="J21" s="27">
        <f t="shared" si="14"/>
        <v>24</v>
      </c>
      <c r="K21" s="28"/>
      <c r="L21" s="28"/>
      <c r="M21" s="28"/>
      <c r="N21" s="28"/>
      <c r="O21" s="28"/>
      <c r="P21" s="28"/>
      <c r="Q21" s="29">
        <f t="shared" si="15"/>
        <v>0</v>
      </c>
      <c r="R21" s="29">
        <f t="shared" si="5"/>
        <v>0</v>
      </c>
      <c r="S21" s="29">
        <f t="shared" si="16"/>
        <v>0</v>
      </c>
      <c r="T21" s="29">
        <f t="shared" si="17"/>
        <v>0</v>
      </c>
      <c r="U21" s="30"/>
      <c r="V21" s="31"/>
      <c r="W21" s="44" t="str">
        <f t="shared" si="18"/>
        <v/>
      </c>
    </row>
    <row r="22" spans="1:23" ht="19.5" customHeight="1" x14ac:dyDescent="0.25">
      <c r="A22" s="23" t="str">
        <f t="shared" si="13"/>
        <v>T7</v>
      </c>
      <c r="B22" s="41"/>
      <c r="C22" s="24" t="str">
        <f>IFERROR(VLOOKUP(B22,#REF!,2,0),"")</f>
        <v/>
      </c>
      <c r="D22" s="25"/>
      <c r="E22" s="26" t="str">
        <f>IFERROR(INDEX(#REF!,MATCH('Phieu dang ky lam them gio'!W22,#REF!,0),1),"")</f>
        <v/>
      </c>
      <c r="F22" s="26" t="str">
        <f>IFERROR(INDEX(#REF!,MATCH(W22,#REF!,0),1),"")</f>
        <v/>
      </c>
      <c r="G22" s="51"/>
      <c r="H22" s="51"/>
      <c r="I22" s="25"/>
      <c r="J22" s="27">
        <f t="shared" si="14"/>
        <v>24</v>
      </c>
      <c r="K22" s="28"/>
      <c r="L22" s="28"/>
      <c r="M22" s="28"/>
      <c r="N22" s="28"/>
      <c r="O22" s="28"/>
      <c r="P22" s="28"/>
      <c r="Q22" s="29">
        <f t="shared" si="15"/>
        <v>0</v>
      </c>
      <c r="R22" s="29">
        <f t="shared" si="5"/>
        <v>0</v>
      </c>
      <c r="S22" s="29">
        <f t="shared" si="16"/>
        <v>0</v>
      </c>
      <c r="T22" s="29">
        <f t="shared" si="17"/>
        <v>0</v>
      </c>
      <c r="U22" s="30"/>
      <c r="V22" s="31"/>
      <c r="W22" s="44" t="str">
        <f t="shared" si="18"/>
        <v/>
      </c>
    </row>
    <row r="23" spans="1:23" ht="19.5" customHeight="1" x14ac:dyDescent="0.25">
      <c r="A23" s="23" t="str">
        <f t="shared" si="13"/>
        <v>T7</v>
      </c>
      <c r="B23" s="41"/>
      <c r="C23" s="24" t="str">
        <f>IFERROR(VLOOKUP(B23,#REF!,2,0),"")</f>
        <v/>
      </c>
      <c r="D23" s="25"/>
      <c r="E23" s="26" t="str">
        <f>IFERROR(INDEX(#REF!,MATCH('Phieu dang ky lam them gio'!W23,#REF!,0),1),"")</f>
        <v/>
      </c>
      <c r="F23" s="26" t="str">
        <f>IFERROR(INDEX(#REF!,MATCH(W23,#REF!,0),1),"")</f>
        <v/>
      </c>
      <c r="G23" s="51"/>
      <c r="H23" s="51"/>
      <c r="I23" s="25"/>
      <c r="J23" s="27">
        <f t="shared" si="14"/>
        <v>24</v>
      </c>
      <c r="K23" s="28"/>
      <c r="L23" s="28"/>
      <c r="M23" s="28"/>
      <c r="N23" s="28"/>
      <c r="O23" s="28"/>
      <c r="P23" s="28"/>
      <c r="Q23" s="29">
        <f t="shared" si="15"/>
        <v>0</v>
      </c>
      <c r="R23" s="29">
        <f t="shared" si="5"/>
        <v>0</v>
      </c>
      <c r="S23" s="29">
        <f t="shared" si="16"/>
        <v>0</v>
      </c>
      <c r="T23" s="29">
        <f t="shared" si="17"/>
        <v>0</v>
      </c>
      <c r="U23" s="30"/>
      <c r="V23" s="31"/>
      <c r="W23" s="44" t="str">
        <f t="shared" si="18"/>
        <v/>
      </c>
    </row>
    <row r="24" spans="1:23" ht="19.5" customHeight="1" x14ac:dyDescent="0.25">
      <c r="A24" s="23" t="str">
        <f t="shared" si="13"/>
        <v>T7</v>
      </c>
      <c r="B24" s="41"/>
      <c r="C24" s="24" t="str">
        <f>IFERROR(VLOOKUP(B24,#REF!,2,0),"")</f>
        <v/>
      </c>
      <c r="D24" s="25"/>
      <c r="E24" s="26" t="str">
        <f>IFERROR(INDEX(#REF!,MATCH('Phieu dang ky lam them gio'!W24,#REF!,0),1),"")</f>
        <v/>
      </c>
      <c r="F24" s="26" t="str">
        <f>IFERROR(INDEX(#REF!,MATCH(W24,#REF!,0),1),"")</f>
        <v/>
      </c>
      <c r="G24" s="51"/>
      <c r="H24" s="51"/>
      <c r="I24" s="25"/>
      <c r="J24" s="27">
        <f t="shared" si="14"/>
        <v>24</v>
      </c>
      <c r="K24" s="28"/>
      <c r="L24" s="28"/>
      <c r="M24" s="28"/>
      <c r="N24" s="28"/>
      <c r="O24" s="28"/>
      <c r="P24" s="28"/>
      <c r="Q24" s="29">
        <f t="shared" si="15"/>
        <v>0</v>
      </c>
      <c r="R24" s="29">
        <f t="shared" si="5"/>
        <v>0</v>
      </c>
      <c r="S24" s="29">
        <f t="shared" si="16"/>
        <v>0</v>
      </c>
      <c r="T24" s="29">
        <f t="shared" si="17"/>
        <v>0</v>
      </c>
      <c r="U24" s="30"/>
      <c r="V24" s="31"/>
      <c r="W24" s="44" t="str">
        <f t="shared" si="18"/>
        <v/>
      </c>
    </row>
    <row r="25" spans="1:23" ht="19.5" customHeight="1" x14ac:dyDescent="0.25">
      <c r="A25" s="23" t="str">
        <f t="shared" si="13"/>
        <v>T7</v>
      </c>
      <c r="B25" s="41"/>
      <c r="C25" s="24" t="str">
        <f>IFERROR(VLOOKUP(B25,#REF!,2,0),"")</f>
        <v/>
      </c>
      <c r="D25" s="25"/>
      <c r="E25" s="26" t="str">
        <f>IFERROR(INDEX(#REF!,MATCH('Phieu dang ky lam them gio'!W25,#REF!,0),1),"")</f>
        <v/>
      </c>
      <c r="F25" s="26" t="str">
        <f>IFERROR(INDEX(#REF!,MATCH(W25,#REF!,0),1),"")</f>
        <v/>
      </c>
      <c r="G25" s="51"/>
      <c r="H25" s="51"/>
      <c r="I25" s="25"/>
      <c r="J25" s="27">
        <f t="shared" si="14"/>
        <v>24</v>
      </c>
      <c r="K25" s="28"/>
      <c r="L25" s="28"/>
      <c r="M25" s="28"/>
      <c r="N25" s="28"/>
      <c r="O25" s="28"/>
      <c r="P25" s="28"/>
      <c r="Q25" s="29">
        <f t="shared" si="15"/>
        <v>0</v>
      </c>
      <c r="R25" s="29">
        <f t="shared" si="5"/>
        <v>0</v>
      </c>
      <c r="S25" s="29">
        <f t="shared" si="16"/>
        <v>0</v>
      </c>
      <c r="T25" s="29">
        <f t="shared" si="17"/>
        <v>0</v>
      </c>
      <c r="U25" s="30"/>
      <c r="V25" s="31"/>
      <c r="W25" s="44" t="str">
        <f t="shared" si="18"/>
        <v/>
      </c>
    </row>
    <row r="26" spans="1:23" ht="19.5" customHeight="1" x14ac:dyDescent="0.25">
      <c r="A26" s="23" t="str">
        <f t="shared" si="13"/>
        <v>T7</v>
      </c>
      <c r="B26" s="41"/>
      <c r="C26" s="24" t="str">
        <f>IFERROR(VLOOKUP(B26,#REF!,2,0),"")</f>
        <v/>
      </c>
      <c r="D26" s="25"/>
      <c r="E26" s="26" t="str">
        <f>IFERROR(INDEX(#REF!,MATCH('Phieu dang ky lam them gio'!W26,#REF!,0),1),"")</f>
        <v/>
      </c>
      <c r="F26" s="26" t="str">
        <f>IFERROR(INDEX(#REF!,MATCH(W26,#REF!,0),1),"")</f>
        <v/>
      </c>
      <c r="G26" s="51"/>
      <c r="H26" s="51"/>
      <c r="I26" s="25"/>
      <c r="J26" s="27">
        <f t="shared" si="14"/>
        <v>24</v>
      </c>
      <c r="K26" s="28"/>
      <c r="L26" s="28"/>
      <c r="M26" s="28"/>
      <c r="N26" s="28"/>
      <c r="O26" s="28"/>
      <c r="P26" s="28"/>
      <c r="Q26" s="29">
        <f t="shared" si="15"/>
        <v>0</v>
      </c>
      <c r="R26" s="29">
        <f t="shared" si="5"/>
        <v>0</v>
      </c>
      <c r="S26" s="29">
        <f t="shared" si="16"/>
        <v>0</v>
      </c>
      <c r="T26" s="29">
        <f t="shared" si="17"/>
        <v>0</v>
      </c>
      <c r="U26" s="30"/>
      <c r="V26" s="31"/>
      <c r="W26" s="44" t="str">
        <f t="shared" si="18"/>
        <v/>
      </c>
    </row>
    <row r="27" spans="1:23" ht="19.5" customHeight="1" x14ac:dyDescent="0.25">
      <c r="A27" s="23" t="str">
        <f t="shared" si="13"/>
        <v>T7</v>
      </c>
      <c r="B27" s="41"/>
      <c r="C27" s="24" t="str">
        <f>IFERROR(VLOOKUP(B27,#REF!,2,0),"")</f>
        <v/>
      </c>
      <c r="D27" s="25"/>
      <c r="E27" s="26" t="str">
        <f>IFERROR(INDEX(#REF!,MATCH('Phieu dang ky lam them gio'!W27,#REF!,0),1),"")</f>
        <v/>
      </c>
      <c r="F27" s="26" t="str">
        <f>IFERROR(INDEX(#REF!,MATCH(W27,#REF!,0),1),"")</f>
        <v/>
      </c>
      <c r="G27" s="51"/>
      <c r="H27" s="51"/>
      <c r="I27" s="25"/>
      <c r="J27" s="27">
        <f t="shared" si="14"/>
        <v>24</v>
      </c>
      <c r="K27" s="28"/>
      <c r="L27" s="28"/>
      <c r="M27" s="28"/>
      <c r="N27" s="28"/>
      <c r="O27" s="28"/>
      <c r="P27" s="28"/>
      <c r="Q27" s="29">
        <f t="shared" si="15"/>
        <v>0</v>
      </c>
      <c r="R27" s="29">
        <f t="shared" si="5"/>
        <v>0</v>
      </c>
      <c r="S27" s="29">
        <f t="shared" si="16"/>
        <v>0</v>
      </c>
      <c r="T27" s="29">
        <f t="shared" si="17"/>
        <v>0</v>
      </c>
      <c r="U27" s="30"/>
      <c r="V27" s="31"/>
      <c r="W27" s="44" t="str">
        <f t="shared" si="18"/>
        <v/>
      </c>
    </row>
    <row r="28" spans="1:23" ht="19.5" customHeight="1" x14ac:dyDescent="0.25">
      <c r="A28" s="23" t="str">
        <f t="shared" si="13"/>
        <v>T7</v>
      </c>
      <c r="B28" s="41"/>
      <c r="C28" s="24" t="str">
        <f>IFERROR(VLOOKUP(B28,#REF!,2,0),"")</f>
        <v/>
      </c>
      <c r="D28" s="25"/>
      <c r="E28" s="26" t="str">
        <f>IFERROR(INDEX(#REF!,MATCH('Phieu dang ky lam them gio'!W28,#REF!,0),1),"")</f>
        <v/>
      </c>
      <c r="F28" s="26" t="str">
        <f>IFERROR(INDEX(#REF!,MATCH(W28,#REF!,0),1),"")</f>
        <v/>
      </c>
      <c r="G28" s="51"/>
      <c r="H28" s="51"/>
      <c r="I28" s="25"/>
      <c r="J28" s="27">
        <f t="shared" si="14"/>
        <v>24</v>
      </c>
      <c r="K28" s="28"/>
      <c r="L28" s="28"/>
      <c r="M28" s="28"/>
      <c r="N28" s="28"/>
      <c r="O28" s="28"/>
      <c r="P28" s="28"/>
      <c r="Q28" s="29">
        <f t="shared" si="15"/>
        <v>0</v>
      </c>
      <c r="R28" s="29">
        <f t="shared" si="5"/>
        <v>0</v>
      </c>
      <c r="S28" s="29">
        <f t="shared" si="16"/>
        <v>0</v>
      </c>
      <c r="T28" s="29">
        <f t="shared" si="17"/>
        <v>0</v>
      </c>
      <c r="U28" s="30"/>
      <c r="V28" s="31"/>
      <c r="W28" s="44" t="str">
        <f t="shared" si="18"/>
        <v/>
      </c>
    </row>
    <row r="29" spans="1:23" ht="19.5" customHeight="1" x14ac:dyDescent="0.25">
      <c r="A29" s="23" t="str">
        <f t="shared" si="13"/>
        <v>T7</v>
      </c>
      <c r="B29" s="41"/>
      <c r="C29" s="24" t="str">
        <f>IFERROR(VLOOKUP(B29,#REF!,2,0),"")</f>
        <v/>
      </c>
      <c r="D29" s="25"/>
      <c r="E29" s="26" t="str">
        <f>IFERROR(INDEX(#REF!,MATCH('Phieu dang ky lam them gio'!W29,#REF!,0),1),"")</f>
        <v/>
      </c>
      <c r="F29" s="26" t="str">
        <f>IFERROR(INDEX(#REF!,MATCH(W29,#REF!,0),1),"")</f>
        <v/>
      </c>
      <c r="G29" s="51"/>
      <c r="H29" s="51"/>
      <c r="I29" s="25"/>
      <c r="J29" s="27">
        <f t="shared" si="14"/>
        <v>24</v>
      </c>
      <c r="K29" s="28"/>
      <c r="L29" s="28"/>
      <c r="M29" s="28"/>
      <c r="N29" s="28"/>
      <c r="O29" s="28"/>
      <c r="P29" s="28"/>
      <c r="Q29" s="29">
        <f t="shared" si="15"/>
        <v>0</v>
      </c>
      <c r="R29" s="29">
        <f t="shared" si="5"/>
        <v>0</v>
      </c>
      <c r="S29" s="29">
        <f t="shared" si="16"/>
        <v>0</v>
      </c>
      <c r="T29" s="29">
        <f t="shared" si="17"/>
        <v>0</v>
      </c>
      <c r="U29" s="30"/>
      <c r="V29" s="31"/>
      <c r="W29" s="44" t="str">
        <f t="shared" si="18"/>
        <v/>
      </c>
    </row>
    <row r="30" spans="1:23" ht="19.5" customHeight="1" x14ac:dyDescent="0.25">
      <c r="A30" s="23" t="str">
        <f t="shared" si="13"/>
        <v>T7</v>
      </c>
      <c r="B30" s="41"/>
      <c r="C30" s="24" t="str">
        <f>IFERROR(VLOOKUP(B30,#REF!,2,0),"")</f>
        <v/>
      </c>
      <c r="D30" s="25"/>
      <c r="E30" s="26" t="str">
        <f>IFERROR(INDEX(#REF!,MATCH('Phieu dang ky lam them gio'!W30,#REF!,0),1),"")</f>
        <v/>
      </c>
      <c r="F30" s="26" t="str">
        <f>IFERROR(INDEX(#REF!,MATCH(W30,#REF!,0),1),"")</f>
        <v/>
      </c>
      <c r="G30" s="51"/>
      <c r="H30" s="51"/>
      <c r="I30" s="25"/>
      <c r="J30" s="27">
        <f t="shared" si="14"/>
        <v>24</v>
      </c>
      <c r="K30" s="28"/>
      <c r="L30" s="28"/>
      <c r="M30" s="28"/>
      <c r="N30" s="28"/>
      <c r="O30" s="28"/>
      <c r="P30" s="28"/>
      <c r="Q30" s="29">
        <f t="shared" si="15"/>
        <v>0</v>
      </c>
      <c r="R30" s="29">
        <f t="shared" si="5"/>
        <v>0</v>
      </c>
      <c r="S30" s="29">
        <f t="shared" si="16"/>
        <v>0</v>
      </c>
      <c r="T30" s="29">
        <f t="shared" si="17"/>
        <v>0</v>
      </c>
      <c r="U30" s="30"/>
      <c r="V30" s="31"/>
      <c r="W30" s="44" t="str">
        <f t="shared" si="18"/>
        <v/>
      </c>
    </row>
    <row r="31" spans="1:23" ht="19.5" customHeight="1" x14ac:dyDescent="0.25">
      <c r="A31" s="23" t="str">
        <f t="shared" si="13"/>
        <v>T7</v>
      </c>
      <c r="B31" s="41"/>
      <c r="C31" s="24" t="str">
        <f>IFERROR(VLOOKUP(B31,#REF!,2,0),"")</f>
        <v/>
      </c>
      <c r="D31" s="25"/>
      <c r="E31" s="26" t="str">
        <f>IFERROR(INDEX(#REF!,MATCH('Phieu dang ky lam them gio'!W31,#REF!,0),1),"")</f>
        <v/>
      </c>
      <c r="F31" s="26" t="str">
        <f>IFERROR(INDEX(#REF!,MATCH(W31,#REF!,0),1),"")</f>
        <v/>
      </c>
      <c r="G31" s="51"/>
      <c r="H31" s="51"/>
      <c r="I31" s="25"/>
      <c r="J31" s="27">
        <f t="shared" si="14"/>
        <v>24</v>
      </c>
      <c r="K31" s="28"/>
      <c r="L31" s="28"/>
      <c r="M31" s="28"/>
      <c r="N31" s="28"/>
      <c r="O31" s="28"/>
      <c r="P31" s="28"/>
      <c r="Q31" s="29">
        <f t="shared" si="15"/>
        <v>0</v>
      </c>
      <c r="R31" s="29">
        <f t="shared" si="5"/>
        <v>0</v>
      </c>
      <c r="S31" s="29">
        <f t="shared" si="16"/>
        <v>0</v>
      </c>
      <c r="T31" s="29">
        <f t="shared" si="17"/>
        <v>0</v>
      </c>
      <c r="U31" s="30"/>
      <c r="V31" s="31"/>
      <c r="W31" s="44" t="str">
        <f t="shared" si="18"/>
        <v/>
      </c>
    </row>
    <row r="32" spans="1:23" ht="19.5" customHeight="1" x14ac:dyDescent="0.25">
      <c r="A32" s="23" t="str">
        <f t="shared" si="13"/>
        <v>T7</v>
      </c>
      <c r="B32" s="41"/>
      <c r="C32" s="24" t="str">
        <f>IFERROR(VLOOKUP(B32,#REF!,2,0),"")</f>
        <v/>
      </c>
      <c r="D32" s="25"/>
      <c r="E32" s="26" t="str">
        <f>IFERROR(INDEX(#REF!,MATCH('Phieu dang ky lam them gio'!W32,#REF!,0),1),"")</f>
        <v/>
      </c>
      <c r="F32" s="26" t="str">
        <f>IFERROR(INDEX(#REF!,MATCH(W32,#REF!,0),1),"")</f>
        <v/>
      </c>
      <c r="G32" s="51"/>
      <c r="H32" s="51"/>
      <c r="I32" s="25"/>
      <c r="J32" s="27">
        <f t="shared" si="14"/>
        <v>24</v>
      </c>
      <c r="K32" s="28"/>
      <c r="L32" s="28"/>
      <c r="M32" s="28"/>
      <c r="N32" s="28"/>
      <c r="O32" s="28"/>
      <c r="P32" s="28"/>
      <c r="Q32" s="29">
        <f t="shared" si="15"/>
        <v>0</v>
      </c>
      <c r="R32" s="29">
        <f t="shared" si="5"/>
        <v>0</v>
      </c>
      <c r="S32" s="29">
        <f t="shared" si="16"/>
        <v>0</v>
      </c>
      <c r="T32" s="29">
        <f t="shared" si="17"/>
        <v>0</v>
      </c>
      <c r="U32" s="30"/>
      <c r="V32" s="31"/>
      <c r="W32" s="44" t="str">
        <f t="shared" si="18"/>
        <v/>
      </c>
    </row>
    <row r="33" spans="1:23" ht="19.5" customHeight="1" x14ac:dyDescent="0.25">
      <c r="A33" s="23" t="str">
        <f t="shared" si="13"/>
        <v>T7</v>
      </c>
      <c r="B33" s="41"/>
      <c r="C33" s="24" t="str">
        <f>IFERROR(VLOOKUP(B33,#REF!,2,0),"")</f>
        <v/>
      </c>
      <c r="D33" s="25"/>
      <c r="E33" s="26" t="str">
        <f>IFERROR(INDEX(#REF!,MATCH('Phieu dang ky lam them gio'!W33,#REF!,0),1),"")</f>
        <v/>
      </c>
      <c r="F33" s="26" t="str">
        <f>IFERROR(INDEX(#REF!,MATCH(W33,#REF!,0),1),"")</f>
        <v/>
      </c>
      <c r="G33" s="51"/>
      <c r="H33" s="51"/>
      <c r="I33" s="25"/>
      <c r="J33" s="27">
        <f t="shared" si="14"/>
        <v>24</v>
      </c>
      <c r="K33" s="28"/>
      <c r="L33" s="28"/>
      <c r="M33" s="28"/>
      <c r="N33" s="28"/>
      <c r="O33" s="28"/>
      <c r="P33" s="28"/>
      <c r="Q33" s="29">
        <f t="shared" si="15"/>
        <v>0</v>
      </c>
      <c r="R33" s="29">
        <f t="shared" si="5"/>
        <v>0</v>
      </c>
      <c r="S33" s="29">
        <f t="shared" si="16"/>
        <v>0</v>
      </c>
      <c r="T33" s="29">
        <f t="shared" si="17"/>
        <v>0</v>
      </c>
      <c r="U33" s="30"/>
      <c r="V33" s="31"/>
      <c r="W33" s="44" t="str">
        <f t="shared" si="18"/>
        <v/>
      </c>
    </row>
    <row r="34" spans="1:23" ht="19.5" customHeight="1" x14ac:dyDescent="0.25">
      <c r="A34" s="23" t="str">
        <f t="shared" si="7"/>
        <v>T7</v>
      </c>
      <c r="B34" s="41"/>
      <c r="C34" s="24" t="str">
        <f>IFERROR(VLOOKUP(B34,#REF!,2,0),"")</f>
        <v/>
      </c>
      <c r="D34" s="25"/>
      <c r="E34" s="26" t="str">
        <f>IFERROR(INDEX(#REF!,MATCH('Phieu dang ky lam them gio'!W34,#REF!,0),1),"")</f>
        <v/>
      </c>
      <c r="F34" s="26" t="str">
        <f>IFERROR(INDEX(#REF!,MATCH(W34,#REF!,0),1),"")</f>
        <v/>
      </c>
      <c r="G34" s="51"/>
      <c r="H34" s="51"/>
      <c r="I34" s="25"/>
      <c r="J34" s="27">
        <f t="shared" si="8"/>
        <v>24</v>
      </c>
      <c r="K34" s="28"/>
      <c r="L34" s="28"/>
      <c r="M34" s="28"/>
      <c r="N34" s="28"/>
      <c r="O34" s="28"/>
      <c r="P34" s="28"/>
      <c r="Q34" s="29">
        <f t="shared" si="9"/>
        <v>0</v>
      </c>
      <c r="R34" s="29">
        <f t="shared" si="5"/>
        <v>0</v>
      </c>
      <c r="S34" s="29">
        <f t="shared" si="10"/>
        <v>0</v>
      </c>
      <c r="T34" s="29">
        <f t="shared" si="11"/>
        <v>0</v>
      </c>
      <c r="U34" s="30"/>
      <c r="V34" s="31"/>
      <c r="W34" s="44" t="str">
        <f t="shared" si="12"/>
        <v/>
      </c>
    </row>
    <row r="35" spans="1:23" ht="19.5" customHeight="1" x14ac:dyDescent="0.25">
      <c r="A35" s="23" t="str">
        <f t="shared" si="7"/>
        <v>T7</v>
      </c>
      <c r="B35" s="41"/>
      <c r="C35" s="24" t="str">
        <f>IFERROR(VLOOKUP(B35,#REF!,2,0),"")</f>
        <v/>
      </c>
      <c r="D35" s="25"/>
      <c r="E35" s="26" t="str">
        <f>IFERROR(INDEX(#REF!,MATCH('Phieu dang ky lam them gio'!W35,#REF!,0),1),"")</f>
        <v/>
      </c>
      <c r="F35" s="26" t="str">
        <f>IFERROR(INDEX(#REF!,MATCH(W35,#REF!,0),1),"")</f>
        <v/>
      </c>
      <c r="G35" s="51"/>
      <c r="H35" s="51"/>
      <c r="I35" s="25"/>
      <c r="J35" s="27">
        <f t="shared" si="8"/>
        <v>24</v>
      </c>
      <c r="K35" s="28"/>
      <c r="L35" s="28"/>
      <c r="M35" s="28"/>
      <c r="N35" s="28"/>
      <c r="O35" s="28"/>
      <c r="P35" s="28"/>
      <c r="Q35" s="29">
        <f t="shared" si="9"/>
        <v>0</v>
      </c>
      <c r="R35" s="29">
        <f t="shared" si="5"/>
        <v>0</v>
      </c>
      <c r="S35" s="29">
        <f t="shared" si="10"/>
        <v>0</v>
      </c>
      <c r="T35" s="29">
        <f t="shared" si="11"/>
        <v>0</v>
      </c>
      <c r="U35" s="30"/>
      <c r="V35" s="31"/>
      <c r="W35" s="44" t="str">
        <f t="shared" si="12"/>
        <v/>
      </c>
    </row>
    <row r="36" spans="1:23" ht="19.5" customHeight="1" x14ac:dyDescent="0.25">
      <c r="A36" s="23" t="str">
        <f t="shared" si="7"/>
        <v>T7</v>
      </c>
      <c r="B36" s="41"/>
      <c r="C36" s="24" t="str">
        <f>IFERROR(VLOOKUP(B36,#REF!,2,0),"")</f>
        <v/>
      </c>
      <c r="D36" s="25"/>
      <c r="E36" s="26" t="str">
        <f>IFERROR(INDEX(#REF!,MATCH('Phieu dang ky lam them gio'!W36,#REF!,0),1),"")</f>
        <v/>
      </c>
      <c r="F36" s="26" t="str">
        <f>IFERROR(INDEX(#REF!,MATCH(W36,#REF!,0),1),"")</f>
        <v/>
      </c>
      <c r="G36" s="51"/>
      <c r="H36" s="51"/>
      <c r="I36" s="25"/>
      <c r="J36" s="27">
        <f t="shared" si="8"/>
        <v>24</v>
      </c>
      <c r="K36" s="28"/>
      <c r="L36" s="28"/>
      <c r="M36" s="28"/>
      <c r="N36" s="28"/>
      <c r="O36" s="28"/>
      <c r="P36" s="28"/>
      <c r="Q36" s="29">
        <f t="shared" si="9"/>
        <v>0</v>
      </c>
      <c r="R36" s="29">
        <f t="shared" si="5"/>
        <v>0</v>
      </c>
      <c r="S36" s="29">
        <f t="shared" si="10"/>
        <v>0</v>
      </c>
      <c r="T36" s="29">
        <f t="shared" si="11"/>
        <v>0</v>
      </c>
      <c r="U36" s="30"/>
      <c r="V36" s="31"/>
      <c r="W36" s="44" t="str">
        <f t="shared" si="12"/>
        <v/>
      </c>
    </row>
    <row r="37" spans="1:23" ht="19.5" customHeight="1" x14ac:dyDescent="0.25">
      <c r="A37" s="23" t="str">
        <f t="shared" si="7"/>
        <v>T7</v>
      </c>
      <c r="B37" s="41"/>
      <c r="C37" s="24" t="str">
        <f>IFERROR(VLOOKUP(B37,#REF!,2,0),"")</f>
        <v/>
      </c>
      <c r="D37" s="25"/>
      <c r="E37" s="26" t="str">
        <f>IFERROR(INDEX(#REF!,MATCH('Phieu dang ky lam them gio'!W37,#REF!,0),1),"")</f>
        <v/>
      </c>
      <c r="F37" s="26" t="str">
        <f>IFERROR(INDEX(#REF!,MATCH(W37,#REF!,0),1),"")</f>
        <v/>
      </c>
      <c r="G37" s="51"/>
      <c r="H37" s="51"/>
      <c r="I37" s="25"/>
      <c r="J37" s="27">
        <f t="shared" si="8"/>
        <v>24</v>
      </c>
      <c r="K37" s="28"/>
      <c r="L37" s="28"/>
      <c r="M37" s="28"/>
      <c r="N37" s="28"/>
      <c r="O37" s="28"/>
      <c r="P37" s="28"/>
      <c r="Q37" s="29">
        <f t="shared" si="9"/>
        <v>0</v>
      </c>
      <c r="R37" s="29">
        <f t="shared" si="5"/>
        <v>0</v>
      </c>
      <c r="S37" s="29">
        <f t="shared" si="10"/>
        <v>0</v>
      </c>
      <c r="T37" s="29">
        <f t="shared" si="11"/>
        <v>0</v>
      </c>
      <c r="U37" s="30"/>
      <c r="V37" s="31"/>
      <c r="W37" s="44" t="str">
        <f t="shared" si="12"/>
        <v/>
      </c>
    </row>
    <row r="38" spans="1:23" ht="19.5" customHeight="1" x14ac:dyDescent="0.25">
      <c r="A38" s="23" t="str">
        <f t="shared" si="7"/>
        <v>T7</v>
      </c>
      <c r="B38" s="41"/>
      <c r="C38" s="24" t="str">
        <f>IFERROR(VLOOKUP(B38,#REF!,2,0),"")</f>
        <v/>
      </c>
      <c r="D38" s="25"/>
      <c r="E38" s="26" t="str">
        <f>IFERROR(INDEX(#REF!,MATCH('Phieu dang ky lam them gio'!W38,#REF!,0),1),"")</f>
        <v/>
      </c>
      <c r="F38" s="26" t="str">
        <f>IFERROR(INDEX(#REF!,MATCH(W38,#REF!,0),1),"")</f>
        <v/>
      </c>
      <c r="G38" s="51"/>
      <c r="H38" s="51"/>
      <c r="I38" s="25"/>
      <c r="J38" s="27">
        <f t="shared" si="8"/>
        <v>24</v>
      </c>
      <c r="K38" s="28"/>
      <c r="L38" s="28"/>
      <c r="M38" s="28"/>
      <c r="N38" s="28"/>
      <c r="O38" s="28"/>
      <c r="P38" s="28"/>
      <c r="Q38" s="29">
        <f t="shared" si="9"/>
        <v>0</v>
      </c>
      <c r="R38" s="29">
        <f t="shared" si="5"/>
        <v>0</v>
      </c>
      <c r="S38" s="29">
        <f t="shared" si="10"/>
        <v>0</v>
      </c>
      <c r="T38" s="29">
        <f t="shared" si="11"/>
        <v>0</v>
      </c>
      <c r="U38" s="30"/>
      <c r="V38" s="31"/>
      <c r="W38" s="44" t="str">
        <f t="shared" si="12"/>
        <v/>
      </c>
    </row>
    <row r="39" spans="1:23" ht="19.5" customHeight="1" x14ac:dyDescent="0.25">
      <c r="A39" s="23" t="str">
        <f t="shared" si="7"/>
        <v>T7</v>
      </c>
      <c r="B39" s="41"/>
      <c r="C39" s="24" t="str">
        <f>IFERROR(VLOOKUP(B39,#REF!,2,0),"")</f>
        <v/>
      </c>
      <c r="D39" s="25"/>
      <c r="E39" s="26" t="str">
        <f>IFERROR(INDEX(#REF!,MATCH('Phieu dang ky lam them gio'!W39,#REF!,0),1),"")</f>
        <v/>
      </c>
      <c r="F39" s="26" t="str">
        <f>IFERROR(INDEX(#REF!,MATCH(W39,#REF!,0),1),"")</f>
        <v/>
      </c>
      <c r="G39" s="51"/>
      <c r="H39" s="51"/>
      <c r="I39" s="25"/>
      <c r="J39" s="27">
        <f t="shared" si="8"/>
        <v>24</v>
      </c>
      <c r="K39" s="28"/>
      <c r="L39" s="28"/>
      <c r="M39" s="28"/>
      <c r="N39" s="28"/>
      <c r="O39" s="28"/>
      <c r="P39" s="28"/>
      <c r="Q39" s="29">
        <f t="shared" si="9"/>
        <v>0</v>
      </c>
      <c r="R39" s="29">
        <f t="shared" si="5"/>
        <v>0</v>
      </c>
      <c r="S39" s="29">
        <f t="shared" si="10"/>
        <v>0</v>
      </c>
      <c r="T39" s="29">
        <f t="shared" si="11"/>
        <v>0</v>
      </c>
      <c r="U39" s="30"/>
      <c r="V39" s="31"/>
      <c r="W39" s="44" t="str">
        <f t="shared" si="12"/>
        <v/>
      </c>
    </row>
    <row r="40" spans="1:23" ht="19.5" customHeight="1" x14ac:dyDescent="0.25">
      <c r="A40" s="23" t="str">
        <f t="shared" si="7"/>
        <v>T7</v>
      </c>
      <c r="B40" s="41"/>
      <c r="C40" s="24" t="str">
        <f>IFERROR(VLOOKUP(B40,#REF!,2,0),"")</f>
        <v/>
      </c>
      <c r="D40" s="25"/>
      <c r="E40" s="26" t="str">
        <f>IFERROR(INDEX(#REF!,MATCH('Phieu dang ky lam them gio'!W40,#REF!,0),1),"")</f>
        <v/>
      </c>
      <c r="F40" s="26" t="str">
        <f>IFERROR(INDEX(#REF!,MATCH(W40,#REF!,0),1),"")</f>
        <v/>
      </c>
      <c r="G40" s="51"/>
      <c r="H40" s="51"/>
      <c r="I40" s="25"/>
      <c r="J40" s="27">
        <f t="shared" si="8"/>
        <v>24</v>
      </c>
      <c r="K40" s="28"/>
      <c r="L40" s="28"/>
      <c r="M40" s="28"/>
      <c r="N40" s="28"/>
      <c r="O40" s="28"/>
      <c r="P40" s="28"/>
      <c r="Q40" s="29">
        <f t="shared" si="9"/>
        <v>0</v>
      </c>
      <c r="R40" s="29">
        <f t="shared" si="5"/>
        <v>0</v>
      </c>
      <c r="S40" s="29">
        <f t="shared" si="10"/>
        <v>0</v>
      </c>
      <c r="T40" s="29">
        <f t="shared" si="11"/>
        <v>0</v>
      </c>
      <c r="U40" s="30"/>
      <c r="V40" s="31"/>
      <c r="W40" s="44" t="str">
        <f t="shared" si="12"/>
        <v/>
      </c>
    </row>
    <row r="41" spans="1:23" ht="19.5" customHeight="1" x14ac:dyDescent="0.25">
      <c r="A41" s="23" t="str">
        <f t="shared" si="7"/>
        <v>T7</v>
      </c>
      <c r="B41" s="41"/>
      <c r="C41" s="24" t="str">
        <f>IFERROR(VLOOKUP(B41,#REF!,2,0),"")</f>
        <v/>
      </c>
      <c r="D41" s="25"/>
      <c r="E41" s="26" t="str">
        <f>IFERROR(INDEX(#REF!,MATCH('Phieu dang ky lam them gio'!W41,#REF!,0),1),"")</f>
        <v/>
      </c>
      <c r="F41" s="26" t="str">
        <f>IFERROR(INDEX(#REF!,MATCH(W41,#REF!,0),1),"")</f>
        <v/>
      </c>
      <c r="G41" s="51"/>
      <c r="H41" s="51"/>
      <c r="I41" s="25"/>
      <c r="J41" s="27">
        <f t="shared" si="8"/>
        <v>24</v>
      </c>
      <c r="K41" s="28"/>
      <c r="L41" s="28"/>
      <c r="M41" s="28"/>
      <c r="N41" s="28"/>
      <c r="O41" s="28"/>
      <c r="P41" s="28"/>
      <c r="Q41" s="29">
        <f t="shared" si="9"/>
        <v>0</v>
      </c>
      <c r="R41" s="29">
        <f t="shared" si="5"/>
        <v>0</v>
      </c>
      <c r="S41" s="29">
        <f t="shared" si="10"/>
        <v>0</v>
      </c>
      <c r="T41" s="29">
        <f t="shared" si="11"/>
        <v>0</v>
      </c>
      <c r="U41" s="30"/>
      <c r="V41" s="31"/>
      <c r="W41" s="44" t="str">
        <f t="shared" si="12"/>
        <v/>
      </c>
    </row>
    <row r="42" spans="1:23" ht="19.5" customHeight="1" x14ac:dyDescent="0.25">
      <c r="A42" s="23" t="str">
        <f t="shared" si="7"/>
        <v>T7</v>
      </c>
      <c r="B42" s="41"/>
      <c r="C42" s="24" t="str">
        <f>IFERROR(VLOOKUP(B42,#REF!,2,0),"")</f>
        <v/>
      </c>
      <c r="D42" s="25"/>
      <c r="E42" s="26" t="str">
        <f>IFERROR(INDEX(#REF!,MATCH('Phieu dang ky lam them gio'!W42,#REF!,0),1),"")</f>
        <v/>
      </c>
      <c r="F42" s="26" t="str">
        <f>IFERROR(INDEX(#REF!,MATCH(W42,#REF!,0),1),"")</f>
        <v/>
      </c>
      <c r="G42" s="51"/>
      <c r="H42" s="51"/>
      <c r="I42" s="25"/>
      <c r="J42" s="27">
        <f t="shared" si="8"/>
        <v>24</v>
      </c>
      <c r="K42" s="28"/>
      <c r="L42" s="28"/>
      <c r="M42" s="28"/>
      <c r="N42" s="28"/>
      <c r="O42" s="28"/>
      <c r="P42" s="28"/>
      <c r="Q42" s="29">
        <f t="shared" si="9"/>
        <v>0</v>
      </c>
      <c r="R42" s="29">
        <f t="shared" si="5"/>
        <v>0</v>
      </c>
      <c r="S42" s="29">
        <f t="shared" si="10"/>
        <v>0</v>
      </c>
      <c r="T42" s="29">
        <f t="shared" si="11"/>
        <v>0</v>
      </c>
      <c r="U42" s="30"/>
      <c r="V42" s="31"/>
      <c r="W42" s="44" t="str">
        <f t="shared" si="12"/>
        <v/>
      </c>
    </row>
    <row r="43" spans="1:23" ht="19.5" customHeight="1" x14ac:dyDescent="0.25">
      <c r="A43" s="23" t="str">
        <f t="shared" si="7"/>
        <v>T7</v>
      </c>
      <c r="B43" s="41"/>
      <c r="C43" s="24" t="str">
        <f>IFERROR(VLOOKUP(B43,#REF!,2,0),"")</f>
        <v/>
      </c>
      <c r="D43" s="25"/>
      <c r="E43" s="26" t="str">
        <f>IFERROR(INDEX(#REF!,MATCH('Phieu dang ky lam them gio'!W43,#REF!,0),1),"")</f>
        <v/>
      </c>
      <c r="F43" s="26" t="str">
        <f>IFERROR(INDEX(#REF!,MATCH(W43,#REF!,0),1),"")</f>
        <v/>
      </c>
      <c r="G43" s="51"/>
      <c r="H43" s="51"/>
      <c r="I43" s="25"/>
      <c r="J43" s="27">
        <f t="shared" si="8"/>
        <v>24</v>
      </c>
      <c r="K43" s="28"/>
      <c r="L43" s="28"/>
      <c r="M43" s="28"/>
      <c r="N43" s="28"/>
      <c r="O43" s="28"/>
      <c r="P43" s="28"/>
      <c r="Q43" s="29">
        <f t="shared" si="9"/>
        <v>0</v>
      </c>
      <c r="R43" s="29">
        <f t="shared" si="5"/>
        <v>0</v>
      </c>
      <c r="S43" s="29">
        <f t="shared" si="10"/>
        <v>0</v>
      </c>
      <c r="T43" s="29">
        <f t="shared" si="11"/>
        <v>0</v>
      </c>
      <c r="U43" s="30"/>
      <c r="V43" s="31"/>
      <c r="W43" s="44" t="str">
        <f t="shared" si="12"/>
        <v/>
      </c>
    </row>
    <row r="44" spans="1:23" ht="19.5" customHeight="1" x14ac:dyDescent="0.25">
      <c r="A44" s="23" t="str">
        <f t="shared" si="7"/>
        <v>T7</v>
      </c>
      <c r="B44" s="41"/>
      <c r="C44" s="24" t="str">
        <f>IFERROR(VLOOKUP(B44,#REF!,2,0),"")</f>
        <v/>
      </c>
      <c r="D44" s="25"/>
      <c r="E44" s="26" t="str">
        <f>IFERROR(INDEX(#REF!,MATCH('Phieu dang ky lam them gio'!W44,#REF!,0),1),"")</f>
        <v/>
      </c>
      <c r="F44" s="26" t="str">
        <f>IFERROR(INDEX(#REF!,MATCH(W44,#REF!,0),1),"")</f>
        <v/>
      </c>
      <c r="G44" s="51"/>
      <c r="H44" s="51"/>
      <c r="I44" s="25"/>
      <c r="J44" s="27">
        <f t="shared" si="8"/>
        <v>24</v>
      </c>
      <c r="K44" s="28"/>
      <c r="L44" s="28"/>
      <c r="M44" s="28"/>
      <c r="N44" s="28"/>
      <c r="O44" s="28"/>
      <c r="P44" s="28"/>
      <c r="Q44" s="29">
        <f t="shared" si="9"/>
        <v>0</v>
      </c>
      <c r="R44" s="29">
        <f t="shared" si="5"/>
        <v>0</v>
      </c>
      <c r="S44" s="29">
        <f t="shared" si="10"/>
        <v>0</v>
      </c>
      <c r="T44" s="29">
        <f t="shared" si="11"/>
        <v>0</v>
      </c>
      <c r="U44" s="30"/>
      <c r="V44" s="31"/>
      <c r="W44" s="44" t="str">
        <f t="shared" si="12"/>
        <v/>
      </c>
    </row>
    <row r="45" spans="1:23" ht="19.5" customHeight="1" x14ac:dyDescent="0.25">
      <c r="A45" s="23" t="str">
        <f t="shared" si="7"/>
        <v>T7</v>
      </c>
      <c r="B45" s="41"/>
      <c r="C45" s="24" t="str">
        <f>IFERROR(VLOOKUP(B45,#REF!,2,0),"")</f>
        <v/>
      </c>
      <c r="D45" s="25"/>
      <c r="E45" s="26" t="str">
        <f>IFERROR(INDEX(#REF!,MATCH('Phieu dang ky lam them gio'!W45,#REF!,0),1),"")</f>
        <v/>
      </c>
      <c r="F45" s="26" t="str">
        <f>IFERROR(INDEX(#REF!,MATCH(W45,#REF!,0),1),"")</f>
        <v/>
      </c>
      <c r="G45" s="51"/>
      <c r="H45" s="51"/>
      <c r="I45" s="25"/>
      <c r="J45" s="27">
        <f t="shared" si="8"/>
        <v>24</v>
      </c>
      <c r="K45" s="28"/>
      <c r="L45" s="28"/>
      <c r="M45" s="28"/>
      <c r="N45" s="28"/>
      <c r="O45" s="28"/>
      <c r="P45" s="28"/>
      <c r="Q45" s="29">
        <f t="shared" si="9"/>
        <v>0</v>
      </c>
      <c r="R45" s="29">
        <f t="shared" si="5"/>
        <v>0</v>
      </c>
      <c r="S45" s="29">
        <f t="shared" si="10"/>
        <v>0</v>
      </c>
      <c r="T45" s="29">
        <f t="shared" si="11"/>
        <v>0</v>
      </c>
      <c r="U45" s="30"/>
      <c r="V45" s="31"/>
      <c r="W45" s="44" t="str">
        <f t="shared" si="12"/>
        <v/>
      </c>
    </row>
    <row r="46" spans="1:23" ht="19.5" customHeight="1" x14ac:dyDescent="0.25">
      <c r="A46" s="23" t="str">
        <f t="shared" si="7"/>
        <v>T7</v>
      </c>
      <c r="B46" s="41"/>
      <c r="C46" s="24" t="str">
        <f>IFERROR(VLOOKUP(B46,#REF!,2,0),"")</f>
        <v/>
      </c>
      <c r="D46" s="25"/>
      <c r="E46" s="26" t="str">
        <f>IFERROR(INDEX(#REF!,MATCH('Phieu dang ky lam them gio'!W46,#REF!,0),1),"")</f>
        <v/>
      </c>
      <c r="F46" s="26" t="str">
        <f>IFERROR(INDEX(#REF!,MATCH(W46,#REF!,0),1),"")</f>
        <v/>
      </c>
      <c r="G46" s="51"/>
      <c r="H46" s="51"/>
      <c r="I46" s="25"/>
      <c r="J46" s="27">
        <f t="shared" si="8"/>
        <v>24</v>
      </c>
      <c r="K46" s="28"/>
      <c r="L46" s="28"/>
      <c r="M46" s="28"/>
      <c r="N46" s="28"/>
      <c r="O46" s="28"/>
      <c r="P46" s="28"/>
      <c r="Q46" s="29">
        <f t="shared" si="9"/>
        <v>0</v>
      </c>
      <c r="R46" s="29">
        <f t="shared" si="5"/>
        <v>0</v>
      </c>
      <c r="S46" s="29">
        <f t="shared" si="10"/>
        <v>0</v>
      </c>
      <c r="T46" s="29">
        <f t="shared" si="11"/>
        <v>0</v>
      </c>
      <c r="U46" s="30"/>
      <c r="V46" s="31"/>
      <c r="W46" s="44" t="str">
        <f t="shared" si="12"/>
        <v/>
      </c>
    </row>
    <row r="47" spans="1:23" ht="19.5" customHeight="1" x14ac:dyDescent="0.25">
      <c r="A47" s="23" t="str">
        <f t="shared" si="0"/>
        <v>T7</v>
      </c>
      <c r="B47" s="41"/>
      <c r="C47" s="24" t="str">
        <f>IFERROR(VLOOKUP(B47,#REF!,2,0),"")</f>
        <v/>
      </c>
      <c r="D47" s="25"/>
      <c r="E47" s="26" t="str">
        <f>IFERROR(INDEX(#REF!,MATCH('Phieu dang ky lam them gio'!W47,#REF!,0),1),"")</f>
        <v/>
      </c>
      <c r="F47" s="26" t="str">
        <f>IFERROR(INDEX(#REF!,MATCH(W47,#REF!,0),1),"")</f>
        <v/>
      </c>
      <c r="G47" s="51"/>
      <c r="H47" s="51"/>
      <c r="I47" s="25"/>
      <c r="J47" s="27">
        <f t="shared" si="1"/>
        <v>24</v>
      </c>
      <c r="K47" s="28"/>
      <c r="L47" s="28"/>
      <c r="M47" s="28"/>
      <c r="N47" s="28"/>
      <c r="O47" s="28"/>
      <c r="P47" s="28"/>
      <c r="Q47" s="29">
        <f t="shared" si="2"/>
        <v>0</v>
      </c>
      <c r="R47" s="29">
        <f t="shared" si="5"/>
        <v>0</v>
      </c>
      <c r="S47" s="29">
        <f t="shared" si="3"/>
        <v>0</v>
      </c>
      <c r="T47" s="29">
        <f t="shared" si="4"/>
        <v>0</v>
      </c>
      <c r="U47" s="30"/>
      <c r="V47" s="31"/>
      <c r="W47" s="44" t="str">
        <f t="shared" si="6"/>
        <v/>
      </c>
    </row>
    <row r="48" spans="1:23" ht="19.5" customHeight="1" x14ac:dyDescent="0.25">
      <c r="A48" s="23" t="str">
        <f t="shared" si="0"/>
        <v>T7</v>
      </c>
      <c r="B48" s="41"/>
      <c r="C48" s="24" t="str">
        <f>IFERROR(VLOOKUP(B48,#REF!,2,0),"")</f>
        <v/>
      </c>
      <c r="D48" s="25"/>
      <c r="E48" s="26" t="str">
        <f>IFERROR(INDEX(#REF!,MATCH('Phieu dang ky lam them gio'!W48,#REF!,0),1),"")</f>
        <v/>
      </c>
      <c r="F48" s="26" t="str">
        <f>IFERROR(INDEX(#REF!,MATCH(W48,#REF!,0),1),"")</f>
        <v/>
      </c>
      <c r="G48" s="51"/>
      <c r="H48" s="51"/>
      <c r="I48" s="25"/>
      <c r="J48" s="27">
        <f t="shared" si="1"/>
        <v>24</v>
      </c>
      <c r="K48" s="28"/>
      <c r="L48" s="28"/>
      <c r="M48" s="28"/>
      <c r="N48" s="28"/>
      <c r="O48" s="28"/>
      <c r="P48" s="28"/>
      <c r="Q48" s="29">
        <f t="shared" si="2"/>
        <v>0</v>
      </c>
      <c r="R48" s="29">
        <f t="shared" si="5"/>
        <v>0</v>
      </c>
      <c r="S48" s="29">
        <f t="shared" si="3"/>
        <v>0</v>
      </c>
      <c r="T48" s="29">
        <f t="shared" si="4"/>
        <v>0</v>
      </c>
      <c r="U48" s="30"/>
      <c r="V48" s="31"/>
      <c r="W48" s="44" t="str">
        <f t="shared" si="6"/>
        <v/>
      </c>
    </row>
    <row r="49" spans="1:23" ht="19.5" customHeight="1" x14ac:dyDescent="0.25">
      <c r="A49" s="23" t="str">
        <f t="shared" si="0"/>
        <v>T7</v>
      </c>
      <c r="B49" s="41"/>
      <c r="C49" s="24" t="str">
        <f>IFERROR(VLOOKUP(B49,#REF!,2,0),"")</f>
        <v/>
      </c>
      <c r="D49" s="25"/>
      <c r="E49" s="26" t="str">
        <f>IFERROR(INDEX(#REF!,MATCH('Phieu dang ky lam them gio'!W49,#REF!,0),1),"")</f>
        <v/>
      </c>
      <c r="F49" s="26" t="str">
        <f>IFERROR(INDEX(#REF!,MATCH(W49,#REF!,0),1),"")</f>
        <v/>
      </c>
      <c r="G49" s="51"/>
      <c r="H49" s="51"/>
      <c r="I49" s="25"/>
      <c r="J49" s="27">
        <f t="shared" si="1"/>
        <v>24</v>
      </c>
      <c r="K49" s="28"/>
      <c r="L49" s="28"/>
      <c r="M49" s="28"/>
      <c r="N49" s="28"/>
      <c r="O49" s="28"/>
      <c r="P49" s="28"/>
      <c r="Q49" s="29">
        <f t="shared" si="2"/>
        <v>0</v>
      </c>
      <c r="R49" s="29">
        <f t="shared" si="5"/>
        <v>0</v>
      </c>
      <c r="S49" s="29">
        <f t="shared" si="3"/>
        <v>0</v>
      </c>
      <c r="T49" s="29">
        <f t="shared" si="4"/>
        <v>0</v>
      </c>
      <c r="U49" s="30"/>
      <c r="V49" s="31"/>
      <c r="W49" s="44" t="str">
        <f t="shared" si="6"/>
        <v/>
      </c>
    </row>
    <row r="50" spans="1:23" ht="19.5" customHeight="1" x14ac:dyDescent="0.25">
      <c r="A50" s="23" t="str">
        <f t="shared" si="0"/>
        <v>T7</v>
      </c>
      <c r="B50" s="41"/>
      <c r="C50" s="24" t="str">
        <f>IFERROR(VLOOKUP(B50,#REF!,2,0),"")</f>
        <v/>
      </c>
      <c r="D50" s="25"/>
      <c r="E50" s="26" t="str">
        <f>IFERROR(INDEX(#REF!,MATCH('Phieu dang ky lam them gio'!W50,#REF!,0),1),"")</f>
        <v/>
      </c>
      <c r="F50" s="26" t="str">
        <f>IFERROR(INDEX(#REF!,MATCH(W50,#REF!,0),1),"")</f>
        <v/>
      </c>
      <c r="G50" s="51"/>
      <c r="H50" s="51"/>
      <c r="I50" s="25"/>
      <c r="J50" s="27">
        <f t="shared" si="1"/>
        <v>24</v>
      </c>
      <c r="K50" s="29"/>
      <c r="L50" s="28"/>
      <c r="M50" s="28"/>
      <c r="N50" s="29"/>
      <c r="O50" s="29"/>
      <c r="P50" s="29"/>
      <c r="Q50" s="29">
        <f t="shared" si="2"/>
        <v>0</v>
      </c>
      <c r="R50" s="29">
        <f t="shared" si="5"/>
        <v>0</v>
      </c>
      <c r="S50" s="29">
        <f>+ROUND(IF(I50="Ca đêm",L50*30%,0),2)</f>
        <v>0</v>
      </c>
      <c r="T50" s="29">
        <f t="shared" si="4"/>
        <v>0</v>
      </c>
      <c r="U50" s="30"/>
      <c r="V50" s="32"/>
      <c r="W50" s="44" t="str">
        <f t="shared" si="6"/>
        <v/>
      </c>
    </row>
    <row r="51" spans="1:23" ht="19.5" customHeight="1" x14ac:dyDescent="0.25">
      <c r="A51" s="23" t="str">
        <f t="shared" si="0"/>
        <v>T7</v>
      </c>
      <c r="B51" s="41"/>
      <c r="C51" s="24" t="str">
        <f>IFERROR(VLOOKUP(B51,#REF!,2,0),"")</f>
        <v/>
      </c>
      <c r="D51" s="25"/>
      <c r="E51" s="26" t="str">
        <f>IFERROR(INDEX(#REF!,MATCH('Phieu dang ky lam them gio'!W51,#REF!,0),1),"")</f>
        <v/>
      </c>
      <c r="F51" s="26" t="str">
        <f>IFERROR(INDEX(#REF!,MATCH(W51,#REF!,0),1),"")</f>
        <v/>
      </c>
      <c r="G51" s="51"/>
      <c r="H51" s="51"/>
      <c r="I51" s="25"/>
      <c r="J51" s="27">
        <f t="shared" si="1"/>
        <v>24</v>
      </c>
      <c r="K51" s="29"/>
      <c r="L51" s="29"/>
      <c r="M51" s="29"/>
      <c r="N51" s="29"/>
      <c r="O51" s="29"/>
      <c r="P51" s="29"/>
      <c r="Q51" s="29">
        <f t="shared" si="2"/>
        <v>0</v>
      </c>
      <c r="R51" s="29">
        <f t="shared" si="5"/>
        <v>0</v>
      </c>
      <c r="S51" s="29">
        <f>+ROUND(IF(I51="Ca đêm",L51*30%,0),2)</f>
        <v>0</v>
      </c>
      <c r="T51" s="29">
        <f t="shared" si="4"/>
        <v>0</v>
      </c>
      <c r="U51" s="30"/>
      <c r="V51" s="32"/>
      <c r="W51" s="44" t="str">
        <f t="shared" si="6"/>
        <v/>
      </c>
    </row>
    <row r="52" spans="1:23" ht="40.5" customHeight="1" thickBot="1" x14ac:dyDescent="0.3">
      <c r="A52" s="33" t="s">
        <v>67</v>
      </c>
      <c r="B52" s="34"/>
      <c r="C52" s="34"/>
      <c r="D52" s="35"/>
      <c r="E52" s="35" t="str">
        <f>IFERROR(INDEX(#REF!,MATCH('Phieu dang ky lam them gio'!W52,#REF!,0),1),"")</f>
        <v/>
      </c>
      <c r="F52" s="35" t="str">
        <f>IFERROR(INDEX(#REF!,MATCH(W52,#REF!,0),1),"")</f>
        <v/>
      </c>
      <c r="G52" s="35"/>
      <c r="H52" s="35"/>
      <c r="I52" s="35"/>
      <c r="J52" s="36">
        <f t="shared" ref="J52:P52" si="19">+SUM(J49:J51)</f>
        <v>72</v>
      </c>
      <c r="K52" s="36">
        <f t="shared" si="19"/>
        <v>0</v>
      </c>
      <c r="L52" s="36">
        <f t="shared" si="19"/>
        <v>0</v>
      </c>
      <c r="M52" s="36">
        <f t="shared" si="19"/>
        <v>0</v>
      </c>
      <c r="N52" s="36">
        <f t="shared" si="19"/>
        <v>0</v>
      </c>
      <c r="O52" s="36">
        <f t="shared" si="19"/>
        <v>0</v>
      </c>
      <c r="P52" s="36">
        <f t="shared" si="19"/>
        <v>0</v>
      </c>
      <c r="Q52" s="36">
        <f>+SUM(Q10:Q51)</f>
        <v>0</v>
      </c>
      <c r="R52" s="29">
        <f t="shared" si="5"/>
        <v>0</v>
      </c>
      <c r="S52" s="36">
        <f>+SUM(S10:S51)</f>
        <v>0</v>
      </c>
      <c r="T52" s="36">
        <f>+SUM(T10:T51)</f>
        <v>0</v>
      </c>
      <c r="U52" s="35"/>
      <c r="V52" s="37"/>
    </row>
    <row r="53" spans="1:23" ht="16.5" thickTop="1" x14ac:dyDescent="0.25">
      <c r="A53" s="21"/>
      <c r="B53" s="21"/>
      <c r="C53" s="18"/>
      <c r="D53" s="20"/>
      <c r="E53" s="52" t="str">
        <f>IFERROR(INDEX(#REF!,MATCH('Phieu dang ky lam them gio'!W53,#REF!,0),1),"")</f>
        <v/>
      </c>
      <c r="F53" s="52" t="str">
        <f>IFERROR(INDEX(#REF!,MATCH(W53,#REF!,0),1),"")</f>
        <v/>
      </c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>
        <f>Q52/8.5</f>
        <v>0</v>
      </c>
      <c r="R53" s="20"/>
      <c r="S53" s="20"/>
      <c r="T53" s="20"/>
      <c r="U53" s="20"/>
      <c r="V53" s="20"/>
    </row>
    <row r="54" spans="1:23" ht="15.75" x14ac:dyDescent="0.25">
      <c r="A54" s="18" t="s">
        <v>68</v>
      </c>
      <c r="B54" s="18"/>
      <c r="C54" s="18"/>
      <c r="D54" s="20"/>
      <c r="E54" s="52" t="str">
        <f>IFERROR(INDEX(#REF!,MATCH('Phieu dang ky lam them gio'!W54,#REF!,0),1),"")</f>
        <v/>
      </c>
      <c r="F54" s="52" t="str">
        <f>IFERROR(INDEX(#REF!,MATCH(W54,#REF!,0),1),"")</f>
        <v/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</row>
    <row r="55" spans="1:23" ht="15.75" x14ac:dyDescent="0.25">
      <c r="A55" s="18"/>
      <c r="B55" s="18"/>
      <c r="C55" s="18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</row>
    <row r="56" spans="1:23" ht="15.75" x14ac:dyDescent="0.25">
      <c r="A56" s="317" t="s">
        <v>38</v>
      </c>
      <c r="B56" s="317"/>
      <c r="C56" s="317"/>
      <c r="D56" s="317"/>
      <c r="E56" s="38"/>
      <c r="G56" s="38"/>
      <c r="H56" s="317" t="s">
        <v>69</v>
      </c>
      <c r="I56" s="317"/>
      <c r="J56" s="317"/>
      <c r="K56" s="38"/>
      <c r="L56" s="20"/>
      <c r="M56" s="45"/>
      <c r="O56" s="38" t="s">
        <v>37</v>
      </c>
      <c r="P56" s="20"/>
      <c r="Q56" s="20"/>
      <c r="R56" s="20"/>
      <c r="S56" s="20"/>
      <c r="T56" s="20"/>
      <c r="U56" s="317" t="s">
        <v>70</v>
      </c>
      <c r="V56" s="317"/>
    </row>
    <row r="57" spans="1:23" ht="15.75" x14ac:dyDescent="0.25">
      <c r="A57" s="21"/>
      <c r="B57" s="21"/>
      <c r="C57" s="18"/>
      <c r="D57" s="47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</row>
    <row r="58" spans="1:23" ht="15.75" x14ac:dyDescent="0.25">
      <c r="A58" s="21"/>
      <c r="B58" s="21"/>
      <c r="C58" s="18"/>
      <c r="D58" s="21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</row>
    <row r="59" spans="1:23" ht="39.75" customHeight="1" x14ac:dyDescent="0.25">
      <c r="A59" s="312"/>
      <c r="B59" s="312"/>
      <c r="C59" s="312"/>
      <c r="D59" s="312"/>
    </row>
    <row r="60" spans="1:23" x14ac:dyDescent="0.25">
      <c r="D60" s="49"/>
      <c r="J60" s="50"/>
    </row>
    <row r="61" spans="1:23" s="19" customFormat="1" ht="17.25" customHeight="1" x14ac:dyDescent="0.25">
      <c r="A61" s="313"/>
      <c r="B61" s="313"/>
      <c r="C61" s="313"/>
      <c r="D61" s="313"/>
      <c r="F61" s="39"/>
      <c r="H61" s="313"/>
      <c r="I61" s="313"/>
      <c r="J61" s="313"/>
      <c r="K61" s="313"/>
      <c r="N61" s="313"/>
      <c r="O61" s="313"/>
      <c r="P61" s="313"/>
      <c r="Q61" s="313"/>
      <c r="R61" s="40"/>
      <c r="S61" s="40"/>
      <c r="T61" s="40"/>
    </row>
  </sheetData>
  <mergeCells count="34">
    <mergeCell ref="A3:V3"/>
    <mergeCell ref="A4:V4"/>
    <mergeCell ref="A5:H5"/>
    <mergeCell ref="A7:A9"/>
    <mergeCell ref="C7:C9"/>
    <mergeCell ref="D7:D9"/>
    <mergeCell ref="E7:F7"/>
    <mergeCell ref="G7:H7"/>
    <mergeCell ref="I7:I9"/>
    <mergeCell ref="Q7:R7"/>
    <mergeCell ref="S7:T7"/>
    <mergeCell ref="U7:U9"/>
    <mergeCell ref="V7:V9"/>
    <mergeCell ref="E8:E9"/>
    <mergeCell ref="F8:F9"/>
    <mergeCell ref="G8:G9"/>
    <mergeCell ref="T8:T9"/>
    <mergeCell ref="A56:D56"/>
    <mergeCell ref="U56:V56"/>
    <mergeCell ref="R8:R9"/>
    <mergeCell ref="S8:S9"/>
    <mergeCell ref="A59:D59"/>
    <mergeCell ref="A61:D61"/>
    <mergeCell ref="H61:K61"/>
    <mergeCell ref="N61:Q61"/>
    <mergeCell ref="B7:B9"/>
    <mergeCell ref="H56:J56"/>
    <mergeCell ref="K8:L8"/>
    <mergeCell ref="M8:N8"/>
    <mergeCell ref="O8:P8"/>
    <mergeCell ref="Q8:Q9"/>
    <mergeCell ref="J7:P7"/>
    <mergeCell ref="H8:H9"/>
    <mergeCell ref="J8:J9"/>
  </mergeCells>
  <dataValidations count="1">
    <dataValidation type="list" allowBlank="1" showInputMessage="1" showErrorMessage="1" sqref="WVQ983083:WVQ983091 JE10:JE51 TA10:TA51 ACW10:ACW51 AMS10:AMS51 AWO10:AWO51 BGK10:BGK51 BQG10:BQG51 CAC10:CAC51 CJY10:CJY51 CTU10:CTU51 DDQ10:DDQ51 DNM10:DNM51 DXI10:DXI51 EHE10:EHE51 ERA10:ERA51 FAW10:FAW51 FKS10:FKS51 FUO10:FUO51 GEK10:GEK51 GOG10:GOG51 GYC10:GYC51 HHY10:HHY51 HRU10:HRU51 IBQ10:IBQ51 ILM10:ILM51 IVI10:IVI51 JFE10:JFE51 JPA10:JPA51 JYW10:JYW51 KIS10:KIS51 KSO10:KSO51 LCK10:LCK51 LMG10:LMG51 LWC10:LWC51 MFY10:MFY51 MPU10:MPU51 MZQ10:MZQ51 NJM10:NJM51 NTI10:NTI51 ODE10:ODE51 ONA10:ONA51 OWW10:OWW51 PGS10:PGS51 PQO10:PQO51 QAK10:QAK51 QKG10:QKG51 QUC10:QUC51 RDY10:RDY51 RNU10:RNU51 RXQ10:RXQ51 SHM10:SHM51 SRI10:SRI51 TBE10:TBE51 TLA10:TLA51 TUW10:TUW51 UES10:UES51 UOO10:UOO51 UYK10:UYK51 VIG10:VIG51 VSC10:VSC51 WBY10:WBY51 WLU10:WLU51 WVQ10:WVQ51 I65579:I65587 JE65579:JE65587 TA65579:TA65587 ACW65579:ACW65587 AMS65579:AMS65587 AWO65579:AWO65587 BGK65579:BGK65587 BQG65579:BQG65587 CAC65579:CAC65587 CJY65579:CJY65587 CTU65579:CTU65587 DDQ65579:DDQ65587 DNM65579:DNM65587 DXI65579:DXI65587 EHE65579:EHE65587 ERA65579:ERA65587 FAW65579:FAW65587 FKS65579:FKS65587 FUO65579:FUO65587 GEK65579:GEK65587 GOG65579:GOG65587 GYC65579:GYC65587 HHY65579:HHY65587 HRU65579:HRU65587 IBQ65579:IBQ65587 ILM65579:ILM65587 IVI65579:IVI65587 JFE65579:JFE65587 JPA65579:JPA65587 JYW65579:JYW65587 KIS65579:KIS65587 KSO65579:KSO65587 LCK65579:LCK65587 LMG65579:LMG65587 LWC65579:LWC65587 MFY65579:MFY65587 MPU65579:MPU65587 MZQ65579:MZQ65587 NJM65579:NJM65587 NTI65579:NTI65587 ODE65579:ODE65587 ONA65579:ONA65587 OWW65579:OWW65587 PGS65579:PGS65587 PQO65579:PQO65587 QAK65579:QAK65587 QKG65579:QKG65587 QUC65579:QUC65587 RDY65579:RDY65587 RNU65579:RNU65587 RXQ65579:RXQ65587 SHM65579:SHM65587 SRI65579:SRI65587 TBE65579:TBE65587 TLA65579:TLA65587 TUW65579:TUW65587 UES65579:UES65587 UOO65579:UOO65587 UYK65579:UYK65587 VIG65579:VIG65587 VSC65579:VSC65587 WBY65579:WBY65587 WLU65579:WLU65587 WVQ65579:WVQ65587 I131115:I131123 JE131115:JE131123 TA131115:TA131123 ACW131115:ACW131123 AMS131115:AMS131123 AWO131115:AWO131123 BGK131115:BGK131123 BQG131115:BQG131123 CAC131115:CAC131123 CJY131115:CJY131123 CTU131115:CTU131123 DDQ131115:DDQ131123 DNM131115:DNM131123 DXI131115:DXI131123 EHE131115:EHE131123 ERA131115:ERA131123 FAW131115:FAW131123 FKS131115:FKS131123 FUO131115:FUO131123 GEK131115:GEK131123 GOG131115:GOG131123 GYC131115:GYC131123 HHY131115:HHY131123 HRU131115:HRU131123 IBQ131115:IBQ131123 ILM131115:ILM131123 IVI131115:IVI131123 JFE131115:JFE131123 JPA131115:JPA131123 JYW131115:JYW131123 KIS131115:KIS131123 KSO131115:KSO131123 LCK131115:LCK131123 LMG131115:LMG131123 LWC131115:LWC131123 MFY131115:MFY131123 MPU131115:MPU131123 MZQ131115:MZQ131123 NJM131115:NJM131123 NTI131115:NTI131123 ODE131115:ODE131123 ONA131115:ONA131123 OWW131115:OWW131123 PGS131115:PGS131123 PQO131115:PQO131123 QAK131115:QAK131123 QKG131115:QKG131123 QUC131115:QUC131123 RDY131115:RDY131123 RNU131115:RNU131123 RXQ131115:RXQ131123 SHM131115:SHM131123 SRI131115:SRI131123 TBE131115:TBE131123 TLA131115:TLA131123 TUW131115:TUW131123 UES131115:UES131123 UOO131115:UOO131123 UYK131115:UYK131123 VIG131115:VIG131123 VSC131115:VSC131123 WBY131115:WBY131123 WLU131115:WLU131123 WVQ131115:WVQ131123 I196651:I196659 JE196651:JE196659 TA196651:TA196659 ACW196651:ACW196659 AMS196651:AMS196659 AWO196651:AWO196659 BGK196651:BGK196659 BQG196651:BQG196659 CAC196651:CAC196659 CJY196651:CJY196659 CTU196651:CTU196659 DDQ196651:DDQ196659 DNM196651:DNM196659 DXI196651:DXI196659 EHE196651:EHE196659 ERA196651:ERA196659 FAW196651:FAW196659 FKS196651:FKS196659 FUO196651:FUO196659 GEK196651:GEK196659 GOG196651:GOG196659 GYC196651:GYC196659 HHY196651:HHY196659 HRU196651:HRU196659 IBQ196651:IBQ196659 ILM196651:ILM196659 IVI196651:IVI196659 JFE196651:JFE196659 JPA196651:JPA196659 JYW196651:JYW196659 KIS196651:KIS196659 KSO196651:KSO196659 LCK196651:LCK196659 LMG196651:LMG196659 LWC196651:LWC196659 MFY196651:MFY196659 MPU196651:MPU196659 MZQ196651:MZQ196659 NJM196651:NJM196659 NTI196651:NTI196659 ODE196651:ODE196659 ONA196651:ONA196659 OWW196651:OWW196659 PGS196651:PGS196659 PQO196651:PQO196659 QAK196651:QAK196659 QKG196651:QKG196659 QUC196651:QUC196659 RDY196651:RDY196659 RNU196651:RNU196659 RXQ196651:RXQ196659 SHM196651:SHM196659 SRI196651:SRI196659 TBE196651:TBE196659 TLA196651:TLA196659 TUW196651:TUW196659 UES196651:UES196659 UOO196651:UOO196659 UYK196651:UYK196659 VIG196651:VIG196659 VSC196651:VSC196659 WBY196651:WBY196659 WLU196651:WLU196659 WVQ196651:WVQ196659 I262187:I262195 JE262187:JE262195 TA262187:TA262195 ACW262187:ACW262195 AMS262187:AMS262195 AWO262187:AWO262195 BGK262187:BGK262195 BQG262187:BQG262195 CAC262187:CAC262195 CJY262187:CJY262195 CTU262187:CTU262195 DDQ262187:DDQ262195 DNM262187:DNM262195 DXI262187:DXI262195 EHE262187:EHE262195 ERA262187:ERA262195 FAW262187:FAW262195 FKS262187:FKS262195 FUO262187:FUO262195 GEK262187:GEK262195 GOG262187:GOG262195 GYC262187:GYC262195 HHY262187:HHY262195 HRU262187:HRU262195 IBQ262187:IBQ262195 ILM262187:ILM262195 IVI262187:IVI262195 JFE262187:JFE262195 JPA262187:JPA262195 JYW262187:JYW262195 KIS262187:KIS262195 KSO262187:KSO262195 LCK262187:LCK262195 LMG262187:LMG262195 LWC262187:LWC262195 MFY262187:MFY262195 MPU262187:MPU262195 MZQ262187:MZQ262195 NJM262187:NJM262195 NTI262187:NTI262195 ODE262187:ODE262195 ONA262187:ONA262195 OWW262187:OWW262195 PGS262187:PGS262195 PQO262187:PQO262195 QAK262187:QAK262195 QKG262187:QKG262195 QUC262187:QUC262195 RDY262187:RDY262195 RNU262187:RNU262195 RXQ262187:RXQ262195 SHM262187:SHM262195 SRI262187:SRI262195 TBE262187:TBE262195 TLA262187:TLA262195 TUW262187:TUW262195 UES262187:UES262195 UOO262187:UOO262195 UYK262187:UYK262195 VIG262187:VIG262195 VSC262187:VSC262195 WBY262187:WBY262195 WLU262187:WLU262195 WVQ262187:WVQ262195 I327723:I327731 JE327723:JE327731 TA327723:TA327731 ACW327723:ACW327731 AMS327723:AMS327731 AWO327723:AWO327731 BGK327723:BGK327731 BQG327723:BQG327731 CAC327723:CAC327731 CJY327723:CJY327731 CTU327723:CTU327731 DDQ327723:DDQ327731 DNM327723:DNM327731 DXI327723:DXI327731 EHE327723:EHE327731 ERA327723:ERA327731 FAW327723:FAW327731 FKS327723:FKS327731 FUO327723:FUO327731 GEK327723:GEK327731 GOG327723:GOG327731 GYC327723:GYC327731 HHY327723:HHY327731 HRU327723:HRU327731 IBQ327723:IBQ327731 ILM327723:ILM327731 IVI327723:IVI327731 JFE327723:JFE327731 JPA327723:JPA327731 JYW327723:JYW327731 KIS327723:KIS327731 KSO327723:KSO327731 LCK327723:LCK327731 LMG327723:LMG327731 LWC327723:LWC327731 MFY327723:MFY327731 MPU327723:MPU327731 MZQ327723:MZQ327731 NJM327723:NJM327731 NTI327723:NTI327731 ODE327723:ODE327731 ONA327723:ONA327731 OWW327723:OWW327731 PGS327723:PGS327731 PQO327723:PQO327731 QAK327723:QAK327731 QKG327723:QKG327731 QUC327723:QUC327731 RDY327723:RDY327731 RNU327723:RNU327731 RXQ327723:RXQ327731 SHM327723:SHM327731 SRI327723:SRI327731 TBE327723:TBE327731 TLA327723:TLA327731 TUW327723:TUW327731 UES327723:UES327731 UOO327723:UOO327731 UYK327723:UYK327731 VIG327723:VIG327731 VSC327723:VSC327731 WBY327723:WBY327731 WLU327723:WLU327731 WVQ327723:WVQ327731 I393259:I393267 JE393259:JE393267 TA393259:TA393267 ACW393259:ACW393267 AMS393259:AMS393267 AWO393259:AWO393267 BGK393259:BGK393267 BQG393259:BQG393267 CAC393259:CAC393267 CJY393259:CJY393267 CTU393259:CTU393267 DDQ393259:DDQ393267 DNM393259:DNM393267 DXI393259:DXI393267 EHE393259:EHE393267 ERA393259:ERA393267 FAW393259:FAW393267 FKS393259:FKS393267 FUO393259:FUO393267 GEK393259:GEK393267 GOG393259:GOG393267 GYC393259:GYC393267 HHY393259:HHY393267 HRU393259:HRU393267 IBQ393259:IBQ393267 ILM393259:ILM393267 IVI393259:IVI393267 JFE393259:JFE393267 JPA393259:JPA393267 JYW393259:JYW393267 KIS393259:KIS393267 KSO393259:KSO393267 LCK393259:LCK393267 LMG393259:LMG393267 LWC393259:LWC393267 MFY393259:MFY393267 MPU393259:MPU393267 MZQ393259:MZQ393267 NJM393259:NJM393267 NTI393259:NTI393267 ODE393259:ODE393267 ONA393259:ONA393267 OWW393259:OWW393267 PGS393259:PGS393267 PQO393259:PQO393267 QAK393259:QAK393267 QKG393259:QKG393267 QUC393259:QUC393267 RDY393259:RDY393267 RNU393259:RNU393267 RXQ393259:RXQ393267 SHM393259:SHM393267 SRI393259:SRI393267 TBE393259:TBE393267 TLA393259:TLA393267 TUW393259:TUW393267 UES393259:UES393267 UOO393259:UOO393267 UYK393259:UYK393267 VIG393259:VIG393267 VSC393259:VSC393267 WBY393259:WBY393267 WLU393259:WLU393267 WVQ393259:WVQ393267 I458795:I458803 JE458795:JE458803 TA458795:TA458803 ACW458795:ACW458803 AMS458795:AMS458803 AWO458795:AWO458803 BGK458795:BGK458803 BQG458795:BQG458803 CAC458795:CAC458803 CJY458795:CJY458803 CTU458795:CTU458803 DDQ458795:DDQ458803 DNM458795:DNM458803 DXI458795:DXI458803 EHE458795:EHE458803 ERA458795:ERA458803 FAW458795:FAW458803 FKS458795:FKS458803 FUO458795:FUO458803 GEK458795:GEK458803 GOG458795:GOG458803 GYC458795:GYC458803 HHY458795:HHY458803 HRU458795:HRU458803 IBQ458795:IBQ458803 ILM458795:ILM458803 IVI458795:IVI458803 JFE458795:JFE458803 JPA458795:JPA458803 JYW458795:JYW458803 KIS458795:KIS458803 KSO458795:KSO458803 LCK458795:LCK458803 LMG458795:LMG458803 LWC458795:LWC458803 MFY458795:MFY458803 MPU458795:MPU458803 MZQ458795:MZQ458803 NJM458795:NJM458803 NTI458795:NTI458803 ODE458795:ODE458803 ONA458795:ONA458803 OWW458795:OWW458803 PGS458795:PGS458803 PQO458795:PQO458803 QAK458795:QAK458803 QKG458795:QKG458803 QUC458795:QUC458803 RDY458795:RDY458803 RNU458795:RNU458803 RXQ458795:RXQ458803 SHM458795:SHM458803 SRI458795:SRI458803 TBE458795:TBE458803 TLA458795:TLA458803 TUW458795:TUW458803 UES458795:UES458803 UOO458795:UOO458803 UYK458795:UYK458803 VIG458795:VIG458803 VSC458795:VSC458803 WBY458795:WBY458803 WLU458795:WLU458803 WVQ458795:WVQ458803 I524331:I524339 JE524331:JE524339 TA524331:TA524339 ACW524331:ACW524339 AMS524331:AMS524339 AWO524331:AWO524339 BGK524331:BGK524339 BQG524331:BQG524339 CAC524331:CAC524339 CJY524331:CJY524339 CTU524331:CTU524339 DDQ524331:DDQ524339 DNM524331:DNM524339 DXI524331:DXI524339 EHE524331:EHE524339 ERA524331:ERA524339 FAW524331:FAW524339 FKS524331:FKS524339 FUO524331:FUO524339 GEK524331:GEK524339 GOG524331:GOG524339 GYC524331:GYC524339 HHY524331:HHY524339 HRU524331:HRU524339 IBQ524331:IBQ524339 ILM524331:ILM524339 IVI524331:IVI524339 JFE524331:JFE524339 JPA524331:JPA524339 JYW524331:JYW524339 KIS524331:KIS524339 KSO524331:KSO524339 LCK524331:LCK524339 LMG524331:LMG524339 LWC524331:LWC524339 MFY524331:MFY524339 MPU524331:MPU524339 MZQ524331:MZQ524339 NJM524331:NJM524339 NTI524331:NTI524339 ODE524331:ODE524339 ONA524331:ONA524339 OWW524331:OWW524339 PGS524331:PGS524339 PQO524331:PQO524339 QAK524331:QAK524339 QKG524331:QKG524339 QUC524331:QUC524339 RDY524331:RDY524339 RNU524331:RNU524339 RXQ524331:RXQ524339 SHM524331:SHM524339 SRI524331:SRI524339 TBE524331:TBE524339 TLA524331:TLA524339 TUW524331:TUW524339 UES524331:UES524339 UOO524331:UOO524339 UYK524331:UYK524339 VIG524331:VIG524339 VSC524331:VSC524339 WBY524331:WBY524339 WLU524331:WLU524339 WVQ524331:WVQ524339 I589867:I589875 JE589867:JE589875 TA589867:TA589875 ACW589867:ACW589875 AMS589867:AMS589875 AWO589867:AWO589875 BGK589867:BGK589875 BQG589867:BQG589875 CAC589867:CAC589875 CJY589867:CJY589875 CTU589867:CTU589875 DDQ589867:DDQ589875 DNM589867:DNM589875 DXI589867:DXI589875 EHE589867:EHE589875 ERA589867:ERA589875 FAW589867:FAW589875 FKS589867:FKS589875 FUO589867:FUO589875 GEK589867:GEK589875 GOG589867:GOG589875 GYC589867:GYC589875 HHY589867:HHY589875 HRU589867:HRU589875 IBQ589867:IBQ589875 ILM589867:ILM589875 IVI589867:IVI589875 JFE589867:JFE589875 JPA589867:JPA589875 JYW589867:JYW589875 KIS589867:KIS589875 KSO589867:KSO589875 LCK589867:LCK589875 LMG589867:LMG589875 LWC589867:LWC589875 MFY589867:MFY589875 MPU589867:MPU589875 MZQ589867:MZQ589875 NJM589867:NJM589875 NTI589867:NTI589875 ODE589867:ODE589875 ONA589867:ONA589875 OWW589867:OWW589875 PGS589867:PGS589875 PQO589867:PQO589875 QAK589867:QAK589875 QKG589867:QKG589875 QUC589867:QUC589875 RDY589867:RDY589875 RNU589867:RNU589875 RXQ589867:RXQ589875 SHM589867:SHM589875 SRI589867:SRI589875 TBE589867:TBE589875 TLA589867:TLA589875 TUW589867:TUW589875 UES589867:UES589875 UOO589867:UOO589875 UYK589867:UYK589875 VIG589867:VIG589875 VSC589867:VSC589875 WBY589867:WBY589875 WLU589867:WLU589875 WVQ589867:WVQ589875 I655403:I655411 JE655403:JE655411 TA655403:TA655411 ACW655403:ACW655411 AMS655403:AMS655411 AWO655403:AWO655411 BGK655403:BGK655411 BQG655403:BQG655411 CAC655403:CAC655411 CJY655403:CJY655411 CTU655403:CTU655411 DDQ655403:DDQ655411 DNM655403:DNM655411 DXI655403:DXI655411 EHE655403:EHE655411 ERA655403:ERA655411 FAW655403:FAW655411 FKS655403:FKS655411 FUO655403:FUO655411 GEK655403:GEK655411 GOG655403:GOG655411 GYC655403:GYC655411 HHY655403:HHY655411 HRU655403:HRU655411 IBQ655403:IBQ655411 ILM655403:ILM655411 IVI655403:IVI655411 JFE655403:JFE655411 JPA655403:JPA655411 JYW655403:JYW655411 KIS655403:KIS655411 KSO655403:KSO655411 LCK655403:LCK655411 LMG655403:LMG655411 LWC655403:LWC655411 MFY655403:MFY655411 MPU655403:MPU655411 MZQ655403:MZQ655411 NJM655403:NJM655411 NTI655403:NTI655411 ODE655403:ODE655411 ONA655403:ONA655411 OWW655403:OWW655411 PGS655403:PGS655411 PQO655403:PQO655411 QAK655403:QAK655411 QKG655403:QKG655411 QUC655403:QUC655411 RDY655403:RDY655411 RNU655403:RNU655411 RXQ655403:RXQ655411 SHM655403:SHM655411 SRI655403:SRI655411 TBE655403:TBE655411 TLA655403:TLA655411 TUW655403:TUW655411 UES655403:UES655411 UOO655403:UOO655411 UYK655403:UYK655411 VIG655403:VIG655411 VSC655403:VSC655411 WBY655403:WBY655411 WLU655403:WLU655411 WVQ655403:WVQ655411 I720939:I720947 JE720939:JE720947 TA720939:TA720947 ACW720939:ACW720947 AMS720939:AMS720947 AWO720939:AWO720947 BGK720939:BGK720947 BQG720939:BQG720947 CAC720939:CAC720947 CJY720939:CJY720947 CTU720939:CTU720947 DDQ720939:DDQ720947 DNM720939:DNM720947 DXI720939:DXI720947 EHE720939:EHE720947 ERA720939:ERA720947 FAW720939:FAW720947 FKS720939:FKS720947 FUO720939:FUO720947 GEK720939:GEK720947 GOG720939:GOG720947 GYC720939:GYC720947 HHY720939:HHY720947 HRU720939:HRU720947 IBQ720939:IBQ720947 ILM720939:ILM720947 IVI720939:IVI720947 JFE720939:JFE720947 JPA720939:JPA720947 JYW720939:JYW720947 KIS720939:KIS720947 KSO720939:KSO720947 LCK720939:LCK720947 LMG720939:LMG720947 LWC720939:LWC720947 MFY720939:MFY720947 MPU720939:MPU720947 MZQ720939:MZQ720947 NJM720939:NJM720947 NTI720939:NTI720947 ODE720939:ODE720947 ONA720939:ONA720947 OWW720939:OWW720947 PGS720939:PGS720947 PQO720939:PQO720947 QAK720939:QAK720947 QKG720939:QKG720947 QUC720939:QUC720947 RDY720939:RDY720947 RNU720939:RNU720947 RXQ720939:RXQ720947 SHM720939:SHM720947 SRI720939:SRI720947 TBE720939:TBE720947 TLA720939:TLA720947 TUW720939:TUW720947 UES720939:UES720947 UOO720939:UOO720947 UYK720939:UYK720947 VIG720939:VIG720947 VSC720939:VSC720947 WBY720939:WBY720947 WLU720939:WLU720947 WVQ720939:WVQ720947 I786475:I786483 JE786475:JE786483 TA786475:TA786483 ACW786475:ACW786483 AMS786475:AMS786483 AWO786475:AWO786483 BGK786475:BGK786483 BQG786475:BQG786483 CAC786475:CAC786483 CJY786475:CJY786483 CTU786475:CTU786483 DDQ786475:DDQ786483 DNM786475:DNM786483 DXI786475:DXI786483 EHE786475:EHE786483 ERA786475:ERA786483 FAW786475:FAW786483 FKS786475:FKS786483 FUO786475:FUO786483 GEK786475:GEK786483 GOG786475:GOG786483 GYC786475:GYC786483 HHY786475:HHY786483 HRU786475:HRU786483 IBQ786475:IBQ786483 ILM786475:ILM786483 IVI786475:IVI786483 JFE786475:JFE786483 JPA786475:JPA786483 JYW786475:JYW786483 KIS786475:KIS786483 KSO786475:KSO786483 LCK786475:LCK786483 LMG786475:LMG786483 LWC786475:LWC786483 MFY786475:MFY786483 MPU786475:MPU786483 MZQ786475:MZQ786483 NJM786475:NJM786483 NTI786475:NTI786483 ODE786475:ODE786483 ONA786475:ONA786483 OWW786475:OWW786483 PGS786475:PGS786483 PQO786475:PQO786483 QAK786475:QAK786483 QKG786475:QKG786483 QUC786475:QUC786483 RDY786475:RDY786483 RNU786475:RNU786483 RXQ786475:RXQ786483 SHM786475:SHM786483 SRI786475:SRI786483 TBE786475:TBE786483 TLA786475:TLA786483 TUW786475:TUW786483 UES786475:UES786483 UOO786475:UOO786483 UYK786475:UYK786483 VIG786475:VIG786483 VSC786475:VSC786483 WBY786475:WBY786483 WLU786475:WLU786483 WVQ786475:WVQ786483 I852011:I852019 JE852011:JE852019 TA852011:TA852019 ACW852011:ACW852019 AMS852011:AMS852019 AWO852011:AWO852019 BGK852011:BGK852019 BQG852011:BQG852019 CAC852011:CAC852019 CJY852011:CJY852019 CTU852011:CTU852019 DDQ852011:DDQ852019 DNM852011:DNM852019 DXI852011:DXI852019 EHE852011:EHE852019 ERA852011:ERA852019 FAW852011:FAW852019 FKS852011:FKS852019 FUO852011:FUO852019 GEK852011:GEK852019 GOG852011:GOG852019 GYC852011:GYC852019 HHY852011:HHY852019 HRU852011:HRU852019 IBQ852011:IBQ852019 ILM852011:ILM852019 IVI852011:IVI852019 JFE852011:JFE852019 JPA852011:JPA852019 JYW852011:JYW852019 KIS852011:KIS852019 KSO852011:KSO852019 LCK852011:LCK852019 LMG852011:LMG852019 LWC852011:LWC852019 MFY852011:MFY852019 MPU852011:MPU852019 MZQ852011:MZQ852019 NJM852011:NJM852019 NTI852011:NTI852019 ODE852011:ODE852019 ONA852011:ONA852019 OWW852011:OWW852019 PGS852011:PGS852019 PQO852011:PQO852019 QAK852011:QAK852019 QKG852011:QKG852019 QUC852011:QUC852019 RDY852011:RDY852019 RNU852011:RNU852019 RXQ852011:RXQ852019 SHM852011:SHM852019 SRI852011:SRI852019 TBE852011:TBE852019 TLA852011:TLA852019 TUW852011:TUW852019 UES852011:UES852019 UOO852011:UOO852019 UYK852011:UYK852019 VIG852011:VIG852019 VSC852011:VSC852019 WBY852011:WBY852019 WLU852011:WLU852019 WVQ852011:WVQ852019 I917547:I917555 JE917547:JE917555 TA917547:TA917555 ACW917547:ACW917555 AMS917547:AMS917555 AWO917547:AWO917555 BGK917547:BGK917555 BQG917547:BQG917555 CAC917547:CAC917555 CJY917547:CJY917555 CTU917547:CTU917555 DDQ917547:DDQ917555 DNM917547:DNM917555 DXI917547:DXI917555 EHE917547:EHE917555 ERA917547:ERA917555 FAW917547:FAW917555 FKS917547:FKS917555 FUO917547:FUO917555 GEK917547:GEK917555 GOG917547:GOG917555 GYC917547:GYC917555 HHY917547:HHY917555 HRU917547:HRU917555 IBQ917547:IBQ917555 ILM917547:ILM917555 IVI917547:IVI917555 JFE917547:JFE917555 JPA917547:JPA917555 JYW917547:JYW917555 KIS917547:KIS917555 KSO917547:KSO917555 LCK917547:LCK917555 LMG917547:LMG917555 LWC917547:LWC917555 MFY917547:MFY917555 MPU917547:MPU917555 MZQ917547:MZQ917555 NJM917547:NJM917555 NTI917547:NTI917555 ODE917547:ODE917555 ONA917547:ONA917555 OWW917547:OWW917555 PGS917547:PGS917555 PQO917547:PQO917555 QAK917547:QAK917555 QKG917547:QKG917555 QUC917547:QUC917555 RDY917547:RDY917555 RNU917547:RNU917555 RXQ917547:RXQ917555 SHM917547:SHM917555 SRI917547:SRI917555 TBE917547:TBE917555 TLA917547:TLA917555 TUW917547:TUW917555 UES917547:UES917555 UOO917547:UOO917555 UYK917547:UYK917555 VIG917547:VIG917555 VSC917547:VSC917555 WBY917547:WBY917555 WLU917547:WLU917555 WVQ917547:WVQ917555 I983083:I983091 JE983083:JE983091 TA983083:TA983091 ACW983083:ACW983091 AMS983083:AMS983091 AWO983083:AWO983091 BGK983083:BGK983091 BQG983083:BQG983091 CAC983083:CAC983091 CJY983083:CJY983091 CTU983083:CTU983091 DDQ983083:DDQ983091 DNM983083:DNM983091 DXI983083:DXI983091 EHE983083:EHE983091 ERA983083:ERA983091 FAW983083:FAW983091 FKS983083:FKS983091 FUO983083:FUO983091 GEK983083:GEK983091 GOG983083:GOG983091 GYC983083:GYC983091 HHY983083:HHY983091 HRU983083:HRU983091 IBQ983083:IBQ983091 ILM983083:ILM983091 IVI983083:IVI983091 JFE983083:JFE983091 JPA983083:JPA983091 JYW983083:JYW983091 KIS983083:KIS983091 KSO983083:KSO983091 LCK983083:LCK983091 LMG983083:LMG983091 LWC983083:LWC983091 MFY983083:MFY983091 MPU983083:MPU983091 MZQ983083:MZQ983091 NJM983083:NJM983091 NTI983083:NTI983091 ODE983083:ODE983091 ONA983083:ONA983091 OWW983083:OWW983091 PGS983083:PGS983091 PQO983083:PQO983091 QAK983083:QAK983091 QKG983083:QKG983091 QUC983083:QUC983091 RDY983083:RDY983091 RNU983083:RNU983091 RXQ983083:RXQ983091 SHM983083:SHM983091 SRI983083:SRI983091 TBE983083:TBE983091 TLA983083:TLA983091 TUW983083:TUW983091 UES983083:UES983091 UOO983083:UOO983091 UYK983083:UYK983091 VIG983083:VIG983091 VSC983083:VSC983091 WBY983083:WBY983091 WLU983083:WLU983091 I10:I51" xr:uid="{00000000-0002-0000-0D00-000000000000}">
      <formula1>"Thêm giờ,Ca đêm"</formula1>
    </dataValidation>
  </dataValidations>
  <pageMargins left="0.7" right="0.19" top="0.42" bottom="0.49" header="0.17" footer="0.17"/>
  <pageSetup paperSize="9" scale="5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/>
  <dimension ref="A1:C2"/>
  <sheetViews>
    <sheetView workbookViewId="0">
      <selection activeCell="B3" sqref="B3"/>
    </sheetView>
  </sheetViews>
  <sheetFormatPr defaultRowHeight="15" x14ac:dyDescent="0.25"/>
  <cols>
    <col min="1" max="1" width="57.5703125" customWidth="1"/>
    <col min="2" max="2" width="54" customWidth="1"/>
    <col min="3" max="3" width="53" customWidth="1"/>
  </cols>
  <sheetData>
    <row r="1" spans="1:3" ht="21.75" customHeight="1" x14ac:dyDescent="0.25">
      <c r="A1" s="15" t="s">
        <v>35</v>
      </c>
      <c r="B1" s="15" t="s">
        <v>36</v>
      </c>
      <c r="C1" s="15" t="s">
        <v>37</v>
      </c>
    </row>
    <row r="2" spans="1:3" ht="99" customHeight="1" x14ac:dyDescent="0.25">
      <c r="A2" s="16"/>
      <c r="B2" s="16"/>
      <c r="C2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Bao_cao_them_BTH KPI_thang</vt:lpstr>
      <vt:lpstr>Hướng dẫn chấm công</vt:lpstr>
      <vt:lpstr>Cong_lam_them</vt:lpstr>
      <vt:lpstr>LAM THEM ST</vt:lpstr>
      <vt:lpstr>LAM THÊM KK</vt:lpstr>
      <vt:lpstr>Phieu dang ky lam them gio</vt:lpstr>
      <vt:lpstr>Chân ký</vt:lpstr>
      <vt:lpstr>Cong_lam_them!Print_Area</vt:lpstr>
      <vt:lpstr>'Phieu dang ky lam them gio'!Print_Area</vt:lpstr>
      <vt:lpstr>Cong_lam_them!Print_Titles</vt:lpstr>
      <vt:lpstr>'LAM THÊM KK'!Print_Titles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 Bich Thuy</dc:creator>
  <cp:lastModifiedBy>Vu Duy Tu</cp:lastModifiedBy>
  <cp:lastPrinted>2022-06-28T02:54:44Z</cp:lastPrinted>
  <dcterms:created xsi:type="dcterms:W3CDTF">2022-05-16T04:04:19Z</dcterms:created>
  <dcterms:modified xsi:type="dcterms:W3CDTF">2026-06-02T09:27:06Z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