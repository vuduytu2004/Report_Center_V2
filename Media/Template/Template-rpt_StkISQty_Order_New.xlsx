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E412AC38-EE4E-438F-A600-9F92FC23E835}" xr6:coauthVersionLast="47" xr6:coauthVersionMax="47" xr10:uidLastSave="{00000000-0000-0000-0000-000000000000}"/>
  <bookViews>
    <workbookView xWindow="-120" yWindow="-120" windowWidth="29040" windowHeight="15840" tabRatio="776" xr2:uid="{D63EFBC1-E077-4F54-8D27-2A664FB5DA88}"/>
  </bookViews>
  <sheets>
    <sheet name="Stock Core" sheetId="1" r:id="rId1"/>
  </sheets>
  <definedNames>
    <definedName name="_xlnm._FilterDatabase" localSheetId="0" hidden="1">'Stock Core'!$A$4:$P$7</definedName>
    <definedName name="A105621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5" i="1"/>
  <c r="P6" i="1"/>
  <c r="P7" i="1"/>
  <c r="P5" i="1"/>
  <c r="O6" i="1"/>
  <c r="O7" i="1"/>
  <c r="O5" i="1"/>
  <c r="M7" i="1" l="1"/>
  <c r="M6" i="1"/>
  <c r="M5" i="1"/>
  <c r="K6" i="1"/>
  <c r="K7" i="1"/>
  <c r="K5" i="1"/>
  <c r="L7" i="1"/>
  <c r="L6" i="1"/>
  <c r="L5" i="1"/>
</calcChain>
</file>

<file path=xl/sharedStrings.xml><?xml version="1.0" encoding="utf-8"?>
<sst xmlns="http://schemas.openxmlformats.org/spreadsheetml/2006/main" count="45" uniqueCount="35">
  <si>
    <t>Mã hàng</t>
  </si>
  <si>
    <t>Tên hàng</t>
  </si>
  <si>
    <t>Đvt</t>
  </si>
  <si>
    <t>Mã ngành</t>
  </si>
  <si>
    <t>Tên ngành</t>
  </si>
  <si>
    <t>Mã điểm</t>
  </si>
  <si>
    <t>Mã kho</t>
  </si>
  <si>
    <t>Tên siêu thị</t>
  </si>
  <si>
    <t>1002322747</t>
  </si>
  <si>
    <t>Trứng gà tươi so 45-50gr Green Bees</t>
  </si>
  <si>
    <t>1002</t>
  </si>
  <si>
    <t>Fresh</t>
  </si>
  <si>
    <t>206</t>
  </si>
  <si>
    <t>12061</t>
  </si>
  <si>
    <t>Cửa hàng HaproFood 135 Lương Đình của</t>
  </si>
  <si>
    <t>1002320112</t>
  </si>
  <si>
    <t>Xúc xích phomai Cheesy 250g</t>
  </si>
  <si>
    <t>1002316777</t>
  </si>
  <si>
    <t>Gà ủ muối 500g-Hana</t>
  </si>
  <si>
    <t>293227470000</t>
  </si>
  <si>
    <t>293201120000</t>
  </si>
  <si>
    <t>293167770000</t>
  </si>
  <si>
    <t>MH</t>
  </si>
  <si>
    <t>Tồn Kho</t>
  </si>
  <si>
    <t>Ngày nhập cuối</t>
  </si>
  <si>
    <t xml:space="preserve">G  </t>
  </si>
  <si>
    <t>TUI</t>
  </si>
  <si>
    <t xml:space="preserve">H  </t>
  </si>
  <si>
    <t>Ngày đặt</t>
  </si>
  <si>
    <t>Trạng thái khóa mua</t>
  </si>
  <si>
    <t>Ngày bán cuối</t>
  </si>
  <si>
    <t>Đ</t>
  </si>
  <si>
    <t>từ đến</t>
  </si>
  <si>
    <t>Trạng Thái Chung</t>
  </si>
  <si>
    <t>Tổng SL đang đặt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</si>
</sst>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18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B2E8-5BB3-43C5-A97C-8D0B349AB04F}">
  <sheetPr>
    <tabColor rgb="FFFF0000"/>
  </sheetPr>
  <dimension ref="A1:P7"/>
  <sheetViews>
    <sheetView tabSelected="1" workbookViewId="0">
      <selection activeCell="A2" sqref="A2:P2"/>
    </sheetView>
  </sheetViews>
  <sheetFormatPr defaultRowHeight="15" x14ac:dyDescent="0.25"/>
  <cols>
    <col min="1" max="1" width="13.140625" bestFit="1" customWidth="1"/>
    <col min="2" max="2" width="13.140625" style="1" customWidth="1"/>
    <col min="3" max="3" width="43.85546875" style="1" customWidth="1"/>
    <col min="4" max="4" width="7.5703125" style="1" customWidth="1"/>
    <col min="5" max="5" width="7" style="1" customWidth="1"/>
    <col min="6" max="6" width="15.7109375" style="1" customWidth="1"/>
    <col min="7" max="7" width="8.7109375" style="1" customWidth="1"/>
    <col min="8" max="8" width="7.7109375" style="1" customWidth="1"/>
    <col min="9" max="9" width="42" style="1" customWidth="1"/>
    <col min="10" max="10" width="26.42578125" style="1" customWidth="1"/>
    <col min="11" max="11" width="8" style="4" customWidth="1"/>
    <col min="12" max="12" width="5.42578125" style="1" customWidth="1"/>
    <col min="13" max="14" width="22" style="11" bestFit="1" customWidth="1"/>
    <col min="15" max="15" width="6.28515625" style="1" customWidth="1"/>
    <col min="16" max="16" width="22" style="11" bestFit="1" customWidth="1"/>
  </cols>
  <sheetData>
    <row r="1" spans="1:16" s="8" customFormat="1" ht="21" x14ac:dyDescent="0.35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O3" s="10"/>
      <c r="P3" s="10"/>
    </row>
    <row r="4" spans="1:16" ht="57.75" customHeight="1" x14ac:dyDescent="0.25">
      <c r="A4" s="2" t="s">
        <v>22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33</v>
      </c>
      <c r="K4" s="2" t="s">
        <v>29</v>
      </c>
      <c r="L4" s="2" t="s">
        <v>23</v>
      </c>
      <c r="M4" s="12" t="s">
        <v>30</v>
      </c>
      <c r="N4" s="12" t="s">
        <v>24</v>
      </c>
      <c r="O4" s="2" t="s">
        <v>34</v>
      </c>
      <c r="P4" s="12" t="s">
        <v>28</v>
      </c>
    </row>
    <row r="5" spans="1:16" x14ac:dyDescent="0.25">
      <c r="A5" s="5" t="s">
        <v>19</v>
      </c>
      <c r="B5" s="3" t="s">
        <v>8</v>
      </c>
      <c r="C5" s="3" t="s">
        <v>9</v>
      </c>
      <c r="D5" s="3" t="s">
        <v>27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/>
      <c r="K5" s="6">
        <f>IFERROR(VLOOKUP(#REF!,#REF!,4,0),0)</f>
        <v>0</v>
      </c>
      <c r="L5" s="3">
        <f>IFERROR(VLOOKUP(#REF!,#REF!,4,0),0)</f>
        <v>0</v>
      </c>
      <c r="M5" s="13" t="e">
        <f>VLOOKUP(#REF!,#REF!,2,0)</f>
        <v>#REF!</v>
      </c>
      <c r="N5" s="13" t="e">
        <f>VLOOKUP(#REF!,#REF!,2,0)</f>
        <v>#REF!</v>
      </c>
      <c r="O5" s="3">
        <f>IFERROR(VLOOKUP(#REF!,#REF!,11,0),0)</f>
        <v>0</v>
      </c>
      <c r="P5" s="13" t="e">
        <f>VLOOKUP(#REF!,#REF!,4,0)</f>
        <v>#REF!</v>
      </c>
    </row>
    <row r="6" spans="1:16" x14ac:dyDescent="0.25">
      <c r="A6" s="5" t="s">
        <v>20</v>
      </c>
      <c r="B6" s="3" t="s">
        <v>15</v>
      </c>
      <c r="C6" s="3" t="s">
        <v>16</v>
      </c>
      <c r="D6" s="3" t="s">
        <v>25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/>
      <c r="K6" s="6">
        <f>IFERROR(VLOOKUP(#REF!,#REF!,4,0),0)</f>
        <v>0</v>
      </c>
      <c r="L6" s="3">
        <f>IFERROR(VLOOKUP(#REF!,#REF!,4,0),0)</f>
        <v>0</v>
      </c>
      <c r="M6" s="13" t="e">
        <f>VLOOKUP(#REF!,#REF!,2,0)</f>
        <v>#REF!</v>
      </c>
      <c r="N6" s="13" t="e">
        <f>VLOOKUP(#REF!,#REF!,2,0)</f>
        <v>#REF!</v>
      </c>
      <c r="O6" s="3">
        <f>IFERROR(VLOOKUP(#REF!,#REF!,11,0),0)</f>
        <v>0</v>
      </c>
      <c r="P6" s="13" t="e">
        <f>VLOOKUP(#REF!,#REF!,4,0)</f>
        <v>#REF!</v>
      </c>
    </row>
    <row r="7" spans="1:16" x14ac:dyDescent="0.25">
      <c r="A7" s="5" t="s">
        <v>21</v>
      </c>
      <c r="B7" s="3" t="s">
        <v>17</v>
      </c>
      <c r="C7" s="3" t="s">
        <v>18</v>
      </c>
      <c r="D7" s="3" t="s">
        <v>26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/>
      <c r="K7" s="6">
        <f>IFERROR(VLOOKUP(#REF!,#REF!,4,0),0)</f>
        <v>0</v>
      </c>
      <c r="L7" s="3">
        <f>IFERROR(VLOOKUP(#REF!,#REF!,4,0),0)</f>
        <v>0</v>
      </c>
      <c r="M7" s="13" t="e">
        <f>VLOOKUP(#REF!,#REF!,2,0)</f>
        <v>#REF!</v>
      </c>
      <c r="N7" s="13" t="e">
        <f>VLOOKUP(#REF!,#REF!,2,0)</f>
        <v>#REF!</v>
      </c>
      <c r="O7" s="3">
        <f>IFERROR(VLOOKUP(#REF!,#REF!,11,0),0)</f>
        <v>0</v>
      </c>
      <c r="P7" s="13" t="e">
        <f>VLOOKUP(#REF!,#REF!,4,0)</f>
        <v>#REF!</v>
      </c>
    </row>
  </sheetData>
  <mergeCells count="3">
    <mergeCell ref="O3:P3"/>
    <mergeCell ref="A1:P1"/>
    <mergeCell ref="A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2025-04-04T08:45:28Z</dcterms:created>
  <dcterms:modified xsi:type="dcterms:W3CDTF">2025-04-25T06:58:01Z</dcterms:modified>
</cp:coreProperties>
</file>